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A38CEA95-EEAD-4113-A2BF-16D4F8CF8252}" xr6:coauthVersionLast="47" xr6:coauthVersionMax="47" xr10:uidLastSave="{00000000-0000-0000-0000-000000000000}"/>
  <bookViews>
    <workbookView xWindow="-28920" yWindow="-120" windowWidth="29040" windowHeight="15840" activeTab="6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GDL GRAPH" sheetId="5" r:id="rId6"/>
    <sheet name="Sheet1" sheetId="12" r:id="rId7"/>
  </sheets>
  <definedNames>
    <definedName name="_xlnm.Print_Area" localSheetId="0">'Print Me'!$A$1:$J$33</definedName>
    <definedName name="_xlnm.Print_Area" localSheetId="2">'Summarized Data'!$A$1:$J$19</definedName>
    <definedName name="RusselleSilver_worksheet_template_with_lot_numbers" localSheetId="0" hidden="1">'Print Me'!#REF!</definedName>
    <definedName name="RusselleSilver_worksheet_template_with_lot_numbers__lot_numbres__.od" localSheetId="0" hidden="1">'Print Me'!$B$19:$F$30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10" l="1"/>
  <c r="A24" i="10"/>
  <c r="A25" i="10"/>
  <c r="A26" i="10"/>
  <c r="A8" i="10"/>
  <c r="A7" i="10"/>
  <c r="H6" i="10" l="1"/>
  <c r="C14" i="12"/>
  <c r="E16" i="6"/>
  <c r="G8" i="11"/>
  <c r="E14" i="6" l="1"/>
  <c r="E15" i="6"/>
  <c r="F15" i="6" l="1"/>
  <c r="G15" i="6" s="1"/>
  <c r="C6" i="11"/>
  <c r="F14" i="6"/>
  <c r="G14" i="6" s="1"/>
  <c r="F16" i="6"/>
  <c r="G16" i="6" s="1"/>
  <c r="E35" i="6"/>
  <c r="F35" i="6" s="1"/>
  <c r="G35" i="6" s="1"/>
  <c r="E36" i="6"/>
  <c r="F36" i="6" s="1"/>
  <c r="G36" i="6" s="1"/>
  <c r="E37" i="6"/>
  <c r="F37" i="6" s="1"/>
  <c r="G37" i="6" s="1"/>
  <c r="H8" i="10"/>
  <c r="H7" i="10"/>
  <c r="A33" i="11"/>
  <c r="A19" i="1"/>
  <c r="B3" i="12"/>
  <c r="H32" i="10"/>
  <c r="H31" i="10"/>
  <c r="H33" i="10"/>
  <c r="H34" i="10"/>
  <c r="H35" i="10"/>
  <c r="H36" i="10"/>
  <c r="H37" i="10"/>
  <c r="H38" i="10"/>
  <c r="H12" i="10"/>
  <c r="H13" i="10"/>
  <c r="H14" i="10"/>
  <c r="H15" i="10"/>
  <c r="H16" i="10"/>
  <c r="H17" i="10"/>
  <c r="H18" i="10"/>
  <c r="H19" i="10"/>
  <c r="H20" i="10"/>
  <c r="H24" i="10"/>
  <c r="H25" i="10"/>
  <c r="H26" i="10"/>
  <c r="E38" i="12"/>
  <c r="C38" i="12"/>
  <c r="E37" i="12"/>
  <c r="C37" i="12"/>
  <c r="E14" i="12"/>
  <c r="E13" i="12"/>
  <c r="C13" i="12"/>
  <c r="B6" i="11"/>
  <c r="D6" i="11"/>
  <c r="G6" i="11"/>
  <c r="B7" i="11"/>
  <c r="C7" i="11"/>
  <c r="D7" i="11"/>
  <c r="G7" i="11"/>
  <c r="B8" i="11"/>
  <c r="C8" i="11"/>
  <c r="D8" i="11"/>
  <c r="B9" i="11"/>
  <c r="C9" i="11"/>
  <c r="D9" i="11"/>
  <c r="G9" i="11"/>
  <c r="B10" i="11"/>
  <c r="C10" i="11"/>
  <c r="D10" i="11"/>
  <c r="G10" i="11"/>
  <c r="H7" i="11"/>
  <c r="I7" i="11"/>
  <c r="H8" i="11"/>
  <c r="I8" i="11"/>
  <c r="H9" i="11"/>
  <c r="I9" i="11"/>
  <c r="H10" i="11"/>
  <c r="I10" i="11"/>
  <c r="H6" i="11"/>
  <c r="I6" i="11"/>
  <c r="A10" i="11"/>
  <c r="A10" i="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8" i="6" s="1"/>
  <c r="G38" i="6" s="1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7" i="6"/>
  <c r="F17" i="6" s="1"/>
  <c r="G17" i="6" s="1"/>
  <c r="E18" i="6"/>
  <c r="E13" i="6"/>
  <c r="F13" i="6" s="1"/>
  <c r="G13" i="6" s="1"/>
  <c r="E12" i="6"/>
  <c r="F12" i="6" s="1"/>
  <c r="G12" i="6" s="1"/>
  <c r="E11" i="6"/>
  <c r="F11" i="6" s="1"/>
  <c r="G11" i="6" s="1"/>
  <c r="E10" i="6"/>
  <c r="F10" i="6" s="1"/>
  <c r="G10" i="6" s="1"/>
  <c r="E9" i="6"/>
  <c r="F9" i="6" s="1"/>
  <c r="G9" i="6" s="1"/>
  <c r="E8" i="6"/>
  <c r="E7" i="6"/>
  <c r="F7" i="6" s="1"/>
  <c r="G7" i="6" s="1"/>
  <c r="E6" i="6"/>
  <c r="F6" i="6" s="1"/>
  <c r="G6" i="6" s="1"/>
  <c r="E5" i="6"/>
  <c r="F5" i="6" s="1"/>
  <c r="G5" i="6" s="1"/>
  <c r="F29" i="6" l="1"/>
  <c r="G29" i="6" s="1"/>
  <c r="J29" i="6" s="1"/>
  <c r="K29" i="6"/>
  <c r="F32" i="6"/>
  <c r="G32" i="6" s="1"/>
  <c r="H32" i="6" s="1"/>
  <c r="I32" i="6" s="1"/>
  <c r="K32" i="6"/>
  <c r="F26" i="6"/>
  <c r="G26" i="6" s="1"/>
  <c r="H26" i="6" s="1"/>
  <c r="I26" i="6" s="1"/>
  <c r="K26" i="6"/>
  <c r="K8" i="6"/>
  <c r="K11" i="6"/>
  <c r="K5" i="6"/>
  <c r="C16" i="12"/>
  <c r="C15" i="12"/>
  <c r="E15" i="12"/>
  <c r="C39" i="12"/>
  <c r="E39" i="12"/>
  <c r="E16" i="12"/>
  <c r="E40" i="12"/>
  <c r="J35" i="6"/>
  <c r="C40" i="12"/>
  <c r="F18" i="6"/>
  <c r="G18" i="6" s="1"/>
  <c r="J17" i="6" s="1"/>
  <c r="J5" i="6"/>
  <c r="H5" i="6"/>
  <c r="I5" i="6" s="1"/>
  <c r="J14" i="6"/>
  <c r="H14" i="6"/>
  <c r="I14" i="6" s="1"/>
  <c r="H38" i="6"/>
  <c r="I38" i="6" s="1"/>
  <c r="J38" i="6"/>
  <c r="J11" i="6"/>
  <c r="H11" i="6"/>
  <c r="I11" i="6" s="1"/>
  <c r="H35" i="6"/>
  <c r="I35" i="6" s="1"/>
  <c r="F8" i="6"/>
  <c r="G8" i="6" s="1"/>
  <c r="J26" i="6" l="1"/>
  <c r="J32" i="6"/>
  <c r="H29" i="6"/>
  <c r="I29" i="6" s="1"/>
  <c r="K3" i="6"/>
  <c r="L12" i="6" s="1"/>
  <c r="M12" i="6" s="1"/>
  <c r="N12" i="6" s="1"/>
  <c r="K24" i="6"/>
  <c r="L27" i="6" s="1"/>
  <c r="M27" i="6" s="1"/>
  <c r="N27" i="6" s="1"/>
  <c r="H17" i="6"/>
  <c r="I17" i="6" s="1"/>
  <c r="J8" i="6"/>
  <c r="H8" i="6"/>
  <c r="I8" i="6" s="1"/>
  <c r="L6" i="6" l="1"/>
  <c r="M6" i="6" s="1"/>
  <c r="N6" i="6" s="1"/>
  <c r="L39" i="6"/>
  <c r="M39" i="6" s="1"/>
  <c r="N39" i="6" s="1"/>
  <c r="L34" i="6"/>
  <c r="M34" i="6" s="1"/>
  <c r="N34" i="6" s="1"/>
  <c r="L33" i="6"/>
  <c r="M33" i="6" s="1"/>
  <c r="N33" i="6" s="1"/>
  <c r="L26" i="6"/>
  <c r="M26" i="6" s="1"/>
  <c r="N26" i="6" s="1"/>
  <c r="L16" i="6"/>
  <c r="M16" i="6" s="1"/>
  <c r="N16" i="6" s="1"/>
  <c r="L8" i="6"/>
  <c r="M8" i="6" s="1"/>
  <c r="N8" i="6" s="1"/>
  <c r="L19" i="6"/>
  <c r="M19" i="6" s="1"/>
  <c r="N19" i="6" s="1"/>
  <c r="L14" i="6"/>
  <c r="M14" i="6" s="1"/>
  <c r="N14" i="6" s="1"/>
  <c r="L9" i="6"/>
  <c r="M9" i="6" s="1"/>
  <c r="N9" i="6" s="1"/>
  <c r="L38" i="6"/>
  <c r="M38" i="6" s="1"/>
  <c r="N38" i="6" s="1"/>
  <c r="L37" i="6"/>
  <c r="M37" i="6" s="1"/>
  <c r="N37" i="6" s="1"/>
  <c r="L30" i="6"/>
  <c r="M30" i="6" s="1"/>
  <c r="N30" i="6" s="1"/>
  <c r="L36" i="6"/>
  <c r="M36" i="6" s="1"/>
  <c r="N36" i="6" s="1"/>
  <c r="L32" i="6"/>
  <c r="M32" i="6" s="1"/>
  <c r="N32" i="6" s="1"/>
  <c r="L29" i="6"/>
  <c r="M29" i="6" s="1"/>
  <c r="N29" i="6" s="1"/>
  <c r="L40" i="6"/>
  <c r="M40" i="6" s="1"/>
  <c r="N40" i="6" s="1"/>
  <c r="L31" i="6"/>
  <c r="M31" i="6" s="1"/>
  <c r="N31" i="6" s="1"/>
  <c r="L28" i="6"/>
  <c r="M28" i="6" s="1"/>
  <c r="N28" i="6" s="1"/>
  <c r="L35" i="6"/>
  <c r="M35" i="6" s="1"/>
  <c r="N35" i="6" s="1"/>
  <c r="L15" i="6"/>
  <c r="M15" i="6" s="1"/>
  <c r="N15" i="6" s="1"/>
  <c r="L18" i="6"/>
  <c r="M18" i="6" s="1"/>
  <c r="N18" i="6" s="1"/>
  <c r="L5" i="6"/>
  <c r="M5" i="6" s="1"/>
  <c r="N5" i="6" s="1"/>
  <c r="L7" i="6"/>
  <c r="M7" i="6" s="1"/>
  <c r="N7" i="6" s="1"/>
  <c r="L11" i="6"/>
  <c r="M11" i="6" s="1"/>
  <c r="N11" i="6" s="1"/>
  <c r="L10" i="6"/>
  <c r="M10" i="6" s="1"/>
  <c r="N10" i="6" s="1"/>
  <c r="L13" i="6"/>
  <c r="M13" i="6" s="1"/>
  <c r="N13" i="6" s="1"/>
  <c r="L17" i="6"/>
  <c r="M17" i="6" s="1"/>
  <c r="N17" i="6" s="1"/>
  <c r="O26" i="6" l="1"/>
  <c r="P26" i="6" s="1"/>
  <c r="O14" i="6"/>
  <c r="P14" i="6" s="1"/>
  <c r="Q26" i="6"/>
  <c r="O32" i="6"/>
  <c r="P32" i="6" s="1"/>
  <c r="Q35" i="6"/>
  <c r="Q32" i="6"/>
  <c r="O38" i="6"/>
  <c r="P38" i="6" s="1"/>
  <c r="Q14" i="6"/>
  <c r="Q8" i="6"/>
  <c r="O5" i="6"/>
  <c r="P5" i="6" s="1"/>
  <c r="O17" i="6"/>
  <c r="P17" i="6" s="1"/>
  <c r="O29" i="6"/>
  <c r="P29" i="6" s="1"/>
  <c r="S32" i="6"/>
  <c r="Q29" i="6"/>
  <c r="O35" i="6"/>
  <c r="P35" i="6" s="1"/>
  <c r="Q38" i="6"/>
  <c r="U20" i="6"/>
  <c r="O11" i="6"/>
  <c r="P11" i="6" s="1"/>
  <c r="Q5" i="6"/>
  <c r="O8" i="6"/>
  <c r="P8" i="6" s="1"/>
  <c r="S11" i="6"/>
  <c r="Q11" i="6"/>
  <c r="U21" i="6"/>
  <c r="D15" i="1" s="1"/>
  <c r="D15" i="11" s="1"/>
  <c r="Q17" i="6"/>
  <c r="U22" i="6" l="1"/>
  <c r="D14" i="1"/>
  <c r="D14" i="11" s="1"/>
  <c r="U23" i="6"/>
  <c r="D16" i="1" l="1"/>
  <c r="E8" i="1" s="1"/>
  <c r="E8" i="11" s="1"/>
  <c r="D17" i="1"/>
  <c r="E10" i="1" l="1"/>
  <c r="E10" i="11" s="1"/>
  <c r="E11" i="1"/>
  <c r="D16" i="11"/>
  <c r="E11" i="11" s="1"/>
  <c r="E7" i="1"/>
  <c r="E7" i="11" s="1"/>
  <c r="E9" i="1"/>
  <c r="E9" i="11" s="1"/>
  <c r="E6" i="1"/>
  <c r="E6" i="11" s="1"/>
  <c r="E5" i="1"/>
  <c r="F11" i="1"/>
  <c r="F7" i="1"/>
  <c r="F7" i="11" s="1"/>
  <c r="F8" i="1"/>
  <c r="F8" i="11" s="1"/>
  <c r="F6" i="1"/>
  <c r="F6" i="11" s="1"/>
  <c r="D17" i="11"/>
  <c r="F10" i="1"/>
  <c r="F10" i="11" s="1"/>
  <c r="F9" i="1"/>
  <c r="F9" i="11" s="1"/>
  <c r="F5" i="1"/>
  <c r="E5" i="11" l="1"/>
  <c r="F11" i="11"/>
  <c r="F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L_Russel Silver\RusselleSilver worksheet template with lot numbers.xlsx" odcFile="C:\Users\heatkim\Documents\My Data Sources\RusselleSilver worksheet template with lot numbers 'lot numbres$'.od.odc" keepAlive="1" name="RusselleSilver worksheet template with lot numbers 'lot numbres$'.od" type="5" refreshedVersion="6" background="1" saveData="1">
    <dbPr connection="Provider=Microsoft.ACE.OLEDB.12.0;User ID=Admin;Data Source=L:\2 Test Forms and Protocols\SOPs\Test Specific Protocols\Section 4L_Russel Silver\RusselleSilver worksheet template with lot 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res$'" commandType="3"/>
  </connection>
</connections>
</file>

<file path=xl/sharedStrings.xml><?xml version="1.0" encoding="utf-8"?>
<sst xmlns="http://schemas.openxmlformats.org/spreadsheetml/2006/main" count="294" uniqueCount="86">
  <si>
    <t>Sample Name</t>
  </si>
  <si>
    <t>M'</t>
  </si>
  <si>
    <t>UM'</t>
  </si>
  <si>
    <t>SD'</t>
  </si>
  <si>
    <t>Paternal Allele</t>
  </si>
  <si>
    <t>Maternal Allele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</si>
  <si>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</si>
  <si>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</si>
  <si>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</si>
  <si>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</si>
  <si>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</si>
  <si>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</si>
  <si>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</si>
  <si>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</si>
  <si>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</si>
  <si>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</si>
  <si>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</si>
  <si>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</si>
  <si>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</si>
  <si>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</si>
  <si>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</si>
  <si>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</si>
  <si>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</si>
  <si>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</si>
  <si>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Normal A</t>
  </si>
  <si>
    <t>Normal B</t>
  </si>
  <si>
    <t>Normal C</t>
  </si>
  <si>
    <t>VIC Allele</t>
  </si>
  <si>
    <t>FAM Allele</t>
  </si>
  <si>
    <t>Adjusted %</t>
  </si>
  <si>
    <t>A</t>
  </si>
  <si>
    <t>B</t>
  </si>
  <si>
    <t>C</t>
  </si>
  <si>
    <t>PLATE #</t>
  </si>
  <si>
    <t>PRESS crtl k to copy data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</si>
  <si>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</si>
  <si>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</si>
  <si>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</si>
  <si>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</si>
  <si>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</si>
  <si>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</si>
  <si>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</si>
  <si>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</si>
  <si>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</si>
  <si>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</si>
  <si>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</si>
  <si>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PEG1 M</t>
  </si>
  <si>
    <t>PEG1 UM</t>
  </si>
  <si>
    <t>GRB10 M</t>
  </si>
  <si>
    <t>GRB10 UM</t>
  </si>
  <si>
    <t>GRB10</t>
  </si>
  <si>
    <t>PEG1</t>
  </si>
  <si>
    <t>GRB10 Methylation</t>
  </si>
  <si>
    <t>PEG1 Methylation</t>
  </si>
  <si>
    <t>7p12.2/7q32 Methylation</t>
  </si>
  <si>
    <t>7p12.2</t>
  </si>
  <si>
    <t>7q32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</si>
  <si>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</si>
  <si>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</si>
  <si>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</si>
  <si>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</si>
  <si>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</si>
  <si>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</si>
  <si>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</si>
  <si>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   </t>
  </si>
  <si>
    <t>Reagent</t>
  </si>
  <si>
    <t>GRB10 Expiration Date</t>
  </si>
  <si>
    <t>PEG1 Expiration Date</t>
  </si>
  <si>
    <t>UM F Primer Lot</t>
  </si>
  <si>
    <t>UM R Primer Lot</t>
  </si>
  <si>
    <t>M F Primer Lot</t>
  </si>
  <si>
    <t>M R Primer Lot</t>
  </si>
  <si>
    <t>UM Probe Lot</t>
  </si>
  <si>
    <t>M Probe Lot</t>
  </si>
  <si>
    <t xml:space="preserve">Taq Lot </t>
  </si>
  <si>
    <t>Water Lot</t>
  </si>
  <si>
    <t>RUN 1</t>
  </si>
  <si>
    <t>RUN 2</t>
  </si>
  <si>
    <t>Lot #</t>
  </si>
  <si>
    <t>Exp. Date</t>
  </si>
  <si>
    <t>RSS QS6 551</t>
  </si>
  <si>
    <t>RSS_QS6_METHYL_XXX_MMDDYY_XX</t>
  </si>
  <si>
    <t>BWR-XXXX</t>
  </si>
  <si>
    <t>Control X</t>
  </si>
  <si>
    <t>HCT116 CONTROL</t>
  </si>
  <si>
    <t>RSS QS6 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</si>
</sst>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6" tint="-0.249977111117893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indexed="64"/>
      </bottom>
      <diagonal/>
    </border>
    <border>
      <left/>
      <right/>
      <top style="medium">
        <color theme="7" tint="-0.249977111117893"/>
      </top>
      <bottom style="medium">
        <color indexed="64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indexed="64"/>
      </bottom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indexed="64"/>
      </bottom>
      <diagonal/>
    </border>
    <border>
      <left/>
      <right/>
      <top style="medium">
        <color theme="6" tint="-0.249977111117893"/>
      </top>
      <bottom style="medium">
        <color indexed="64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indexed="64"/>
      </bottom>
      <diagonal/>
    </border>
    <border>
      <left style="medium">
        <color theme="6" tint="-0.249977111117893"/>
      </left>
      <right/>
      <top/>
      <bottom/>
      <diagonal/>
    </border>
    <border>
      <left/>
      <right style="medium">
        <color theme="6" tint="-0.249977111117893"/>
      </right>
      <top/>
      <bottom/>
      <diagonal/>
    </border>
    <border>
      <left style="medium">
        <color theme="6" tint="-0.249977111117893"/>
      </left>
      <right/>
      <top/>
      <bottom style="medium">
        <color theme="6" tint="-0.249977111117893"/>
      </bottom>
      <diagonal/>
    </border>
    <border>
      <left/>
      <right/>
      <top/>
      <bottom style="medium">
        <color theme="6" tint="-0.249977111117893"/>
      </bottom>
      <diagonal/>
    </border>
    <border>
      <left/>
      <right style="medium">
        <color theme="6" tint="-0.249977111117893"/>
      </right>
      <top/>
      <bottom style="medium">
        <color theme="6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3" fillId="0" borderId="0"/>
    <xf numFmtId="0" fontId="14" fillId="0" borderId="0"/>
    <xf numFmtId="0" fontId="24" fillId="0" borderId="0"/>
  </cellStyleXfs>
  <cellXfs count="1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0" fillId="0" borderId="5" xfId="0" applyBorder="1"/>
    <xf numFmtId="0" fontId="7" fillId="0" borderId="0" xfId="0" applyFont="1"/>
    <xf numFmtId="0" fontId="0" fillId="2" borderId="0" xfId="0" applyFill="1"/>
    <xf numFmtId="0" fontId="11" fillId="3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4" borderId="0" xfId="0" applyFill="1"/>
    <xf numFmtId="0" fontId="8" fillId="0" borderId="6" xfId="0" applyFont="1" applyBorder="1"/>
    <xf numFmtId="10" fontId="10" fillId="0" borderId="6" xfId="0" applyNumberFormat="1" applyFont="1" applyBorder="1" applyAlignment="1">
      <alignment horizontal="center"/>
    </xf>
    <xf numFmtId="10" fontId="8" fillId="0" borderId="6" xfId="0" applyNumberFormat="1" applyFont="1" applyBorder="1"/>
    <xf numFmtId="0" fontId="8" fillId="0" borderId="6" xfId="0" applyFont="1" applyBorder="1" applyAlignment="1">
      <alignment horizontal="center"/>
    </xf>
    <xf numFmtId="0" fontId="0" fillId="0" borderId="6" xfId="0" applyBorder="1"/>
    <xf numFmtId="9" fontId="0" fillId="0" borderId="6" xfId="8" applyFont="1" applyFill="1" applyBorder="1"/>
    <xf numFmtId="10" fontId="0" fillId="0" borderId="6" xfId="8" applyNumberFormat="1" applyFont="1" applyFill="1" applyBorder="1"/>
    <xf numFmtId="10" fontId="12" fillId="0" borderId="6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12" fillId="0" borderId="0" xfId="0" applyNumberFormat="1" applyFont="1" applyAlignment="1">
      <alignment horizontal="center"/>
    </xf>
    <xf numFmtId="10" fontId="0" fillId="0" borderId="0" xfId="8" applyNumberFormat="1" applyFont="1"/>
    <xf numFmtId="0" fontId="15" fillId="5" borderId="0" xfId="0" applyFont="1" applyFill="1"/>
    <xf numFmtId="0" fontId="7" fillId="6" borderId="0" xfId="0" applyFont="1" applyFill="1"/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0" fontId="17" fillId="0" borderId="7" xfId="2" applyNumberFormat="1" applyFont="1" applyBorder="1" applyAlignment="1">
      <alignment horizontal="center" vertical="center"/>
    </xf>
    <xf numFmtId="0" fontId="3" fillId="0" borderId="9" xfId="1" applyFont="1" applyBorder="1"/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12" fillId="0" borderId="10" xfId="0" applyNumberFormat="1" applyFont="1" applyBorder="1" applyAlignment="1">
      <alignment horizontal="center"/>
    </xf>
    <xf numFmtId="10" fontId="12" fillId="0" borderId="11" xfId="0" applyNumberFormat="1" applyFont="1" applyBorder="1" applyAlignment="1">
      <alignment horizontal="center"/>
    </xf>
    <xf numFmtId="10" fontId="12" fillId="0" borderId="12" xfId="0" applyNumberFormat="1" applyFont="1" applyBorder="1" applyAlignment="1">
      <alignment horizontal="center"/>
    </xf>
    <xf numFmtId="10" fontId="12" fillId="0" borderId="13" xfId="0" applyNumberFormat="1" applyFont="1" applyBorder="1" applyAlignment="1">
      <alignment horizontal="center"/>
    </xf>
    <xf numFmtId="10" fontId="12" fillId="0" borderId="14" xfId="0" applyNumberFormat="1" applyFont="1" applyBorder="1" applyAlignment="1">
      <alignment horizontal="center"/>
    </xf>
    <xf numFmtId="10" fontId="16" fillId="0" borderId="15" xfId="2" applyNumberFormat="1" applyFont="1" applyBorder="1" applyAlignment="1">
      <alignment horizontal="center" vertical="center"/>
    </xf>
    <xf numFmtId="0" fontId="3" fillId="0" borderId="17" xfId="1" applyFont="1" applyBorder="1"/>
    <xf numFmtId="10" fontId="2" fillId="0" borderId="18" xfId="2" applyNumberFormat="1" applyFont="1" applyBorder="1" applyAlignment="1">
      <alignment horizontal="center" vertical="center"/>
    </xf>
    <xf numFmtId="0" fontId="3" fillId="0" borderId="19" xfId="1" applyFont="1" applyBorder="1"/>
    <xf numFmtId="10" fontId="3" fillId="0" borderId="19" xfId="2" applyNumberFormat="1" applyFont="1" applyBorder="1" applyAlignment="1">
      <alignment horizontal="center" vertical="center"/>
    </xf>
    <xf numFmtId="10" fontId="12" fillId="0" borderId="18" xfId="0" applyNumberFormat="1" applyFont="1" applyBorder="1" applyAlignment="1">
      <alignment horizontal="center"/>
    </xf>
    <xf numFmtId="10" fontId="12" fillId="0" borderId="19" xfId="0" applyNumberFormat="1" applyFont="1" applyBorder="1" applyAlignment="1">
      <alignment horizontal="center"/>
    </xf>
    <xf numFmtId="10" fontId="12" fillId="0" borderId="20" xfId="0" applyNumberFormat="1" applyFont="1" applyBorder="1" applyAlignment="1">
      <alignment horizontal="center"/>
    </xf>
    <xf numFmtId="10" fontId="12" fillId="0" borderId="21" xfId="0" applyNumberFormat="1" applyFont="1" applyBorder="1" applyAlignment="1">
      <alignment horizontal="center"/>
    </xf>
    <xf numFmtId="10" fontId="12" fillId="0" borderId="22" xfId="0" applyNumberFormat="1" applyFont="1" applyBorder="1" applyAlignment="1">
      <alignment horizontal="center"/>
    </xf>
    <xf numFmtId="0" fontId="14" fillId="0" borderId="0" xfId="10"/>
    <xf numFmtId="10" fontId="2" fillId="0" borderId="10" xfId="2" applyNumberFormat="1" applyFont="1" applyBorder="1" applyAlignment="1">
      <alignment horizontal="center" vertical="center"/>
    </xf>
    <xf numFmtId="10" fontId="18" fillId="0" borderId="0" xfId="2" applyNumberFormat="1" applyFont="1" applyBorder="1" applyAlignment="1">
      <alignment horizontal="center" vertical="center"/>
    </xf>
    <xf numFmtId="10" fontId="16" fillId="0" borderId="0" xfId="2" applyNumberFormat="1" applyFont="1" applyBorder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2" fillId="0" borderId="16" xfId="1" applyFont="1" applyBorder="1"/>
    <xf numFmtId="0" fontId="2" fillId="0" borderId="8" xfId="1" applyFont="1" applyBorder="1"/>
    <xf numFmtId="164" fontId="0" fillId="0" borderId="6" xfId="8" applyNumberFormat="1" applyFont="1" applyFill="1" applyBorder="1"/>
    <xf numFmtId="10" fontId="7" fillId="0" borderId="0" xfId="8" applyNumberFormat="1" applyFont="1"/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14" fontId="8" fillId="0" borderId="0" xfId="0" applyNumberFormat="1" applyFont="1"/>
    <xf numFmtId="14" fontId="8" fillId="7" borderId="0" xfId="0" applyNumberFormat="1" applyFont="1" applyFill="1"/>
    <xf numFmtId="14" fontId="8" fillId="0" borderId="0" xfId="8" applyNumberFormat="1" applyFont="1" applyBorder="1"/>
    <xf numFmtId="0" fontId="20" fillId="0" borderId="1" xfId="0" applyFont="1" applyBorder="1"/>
    <xf numFmtId="0" fontId="20" fillId="0" borderId="2" xfId="0" applyFont="1" applyBorder="1"/>
    <xf numFmtId="0" fontId="19" fillId="0" borderId="1" xfId="0" applyFont="1" applyBorder="1"/>
    <xf numFmtId="10" fontId="19" fillId="0" borderId="2" xfId="8" applyNumberFormat="1" applyFont="1" applyBorder="1"/>
    <xf numFmtId="0" fontId="19" fillId="0" borderId="2" xfId="0" applyFont="1" applyBorder="1"/>
    <xf numFmtId="0" fontId="19" fillId="0" borderId="3" xfId="0" applyFont="1" applyBorder="1"/>
    <xf numFmtId="0" fontId="8" fillId="0" borderId="0" xfId="8" applyNumberFormat="1" applyFont="1" applyBorder="1"/>
    <xf numFmtId="1" fontId="8" fillId="0" borderId="0" xfId="8" applyNumberFormat="1" applyFont="1" applyBorder="1"/>
    <xf numFmtId="0" fontId="20" fillId="0" borderId="3" xfId="0" applyFont="1" applyBorder="1"/>
    <xf numFmtId="49" fontId="8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49" fontId="8" fillId="0" borderId="0" xfId="8" applyNumberFormat="1" applyFont="1" applyBorder="1"/>
    <xf numFmtId="14" fontId="25" fillId="0" borderId="0" xfId="11" applyNumberFormat="1" applyFont="1" applyAlignment="1" applyProtection="1">
      <alignment vertical="center"/>
      <protection locked="0"/>
    </xf>
    <xf numFmtId="14" fontId="25" fillId="0" borderId="0" xfId="0" applyNumberFormat="1" applyFont="1" applyAlignment="1" applyProtection="1">
      <alignment vertical="center"/>
      <protection locked="0"/>
    </xf>
    <xf numFmtId="14" fontId="26" fillId="0" borderId="0" xfId="1" applyNumberFormat="1" applyFont="1" applyAlignment="1" applyProtection="1">
      <alignment vertical="center"/>
      <protection locked="0"/>
    </xf>
    <xf numFmtId="0" fontId="27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7" fillId="0" borderId="23" xfId="0" applyFont="1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</cellXfs>
  <cellStyles count="12">
    <cellStyle name="Normal" xfId="0" builtinId="0"/>
    <cellStyle name="Normal 2" xfId="1" xr:uid="{00000000-0005-0000-0000-000001000000}"/>
    <cellStyle name="Normal 2 2" xfId="11" xr:uid="{55027E14-A8F4-4554-AB15-2CA9D3A92846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8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9"/>
      </font>
    </dxf>
    <dxf>
      <font>
        <b/>
        <i val="0"/>
        <color theme="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border diagonalUp="0" diagonalDown="0">
        <left/>
        <right/>
        <top/>
        <bottom/>
        <vertical/>
        <horizontal/>
      </border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i="0" baseline="0"/>
              <a:t>Graph of Methylation Percentages for GRB10 and PEG1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Plate #:  </a:t>
            </a:r>
            <a:r>
              <a:rPr lang="en-US" sz="1000" b="1" i="0" baseline="0">
                <a:effectLst/>
              </a:rPr>
              <a:t>RSS_QS6_METHYL_XXX_MMDDYY_XX</a:t>
            </a:r>
          </a:p>
          <a:p>
            <a:pPr>
              <a:defRPr sz="1000"/>
            </a:pPr>
            <a:r>
              <a:rPr lang="en-US" sz="1000" b="1" i="0" baseline="0"/>
              <a:t>MM.DD.YYYY XX</a:t>
            </a:r>
          </a:p>
        </c:rich>
      </c:tx>
      <c:layout>
        <c:manualLayout>
          <c:xMode val="edge"/>
          <c:yMode val="edge"/>
          <c:x val="0.18102508019830857"/>
          <c:y val="1.9774011299435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09548806399199"/>
          <c:y val="0.2061121491169536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EB4-458E-ABD7-01DD59318AB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8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2086656"/>
        <c:axId val="7208857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EB4-458E-ABD7-01DD59318AB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86656"/>
        <c:axId val="72088576"/>
      </c:lineChart>
      <c:catAx>
        <c:axId val="7208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72088576"/>
        <c:crosses val="autoZero"/>
        <c:auto val="1"/>
        <c:lblAlgn val="ctr"/>
        <c:lblOffset val="100"/>
        <c:noMultiLvlLbl val="0"/>
      </c:catAx>
      <c:valAx>
        <c:axId val="7208857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2086656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>
      <c:oddFooter>&amp;CTemplate Rev 12.03.15</c:oddFooter>
    </c:headerFooter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PEG1 and GRB10</a:t>
            </a:r>
          </a:p>
          <a:p>
            <a:pPr>
              <a:defRPr/>
            </a:pPr>
            <a:r>
              <a:rPr lang="en-US"/>
              <a:t>(Unmethylated values are 100 minus numbers plotted)</a:t>
            </a:r>
          </a:p>
          <a:p>
            <a:pPr>
              <a:defRPr/>
            </a:pPr>
            <a:r>
              <a:rPr lang="en-US"/>
              <a:t>Plate #: RSS_METHYL_080_09_07_17_JK</a:t>
            </a:r>
          </a:p>
          <a:p>
            <a:pPr>
              <a:defRPr/>
            </a:pPr>
            <a:r>
              <a:rPr lang="en-US"/>
              <a:t>09.07.17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PEG1</c:v>
          </c:tx>
          <c:spPr>
            <a:solidFill>
              <a:schemeClr val="accent4">
                <a:lumMod val="75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6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8-452C-4416-A202-309731523BB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2C-4416-A202-309731523BBA}"/>
            </c:ext>
          </c:extLst>
        </c:ser>
        <c:ser>
          <c:idx val="3"/>
          <c:order val="3"/>
          <c:tx>
            <c:v>Patients GRB10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3496448"/>
        <c:axId val="7350681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52C-4416-A202-309731523BB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96448"/>
        <c:axId val="73506816"/>
      </c:lineChart>
      <c:catAx>
        <c:axId val="7349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73506816"/>
        <c:crosses val="autoZero"/>
        <c:auto val="1"/>
        <c:lblAlgn val="ctr"/>
        <c:lblOffset val="100"/>
        <c:noMultiLvlLbl val="0"/>
      </c:catAx>
      <c:valAx>
        <c:axId val="7350681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49644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0</xdr:row>
      <xdr:rowOff>0</xdr:rowOff>
    </xdr:from>
    <xdr:to>
      <xdr:col>12</xdr:col>
      <xdr:colOff>104775</xdr:colOff>
      <xdr:row>1</xdr:row>
      <xdr:rowOff>178832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09650" y="0"/>
          <a:ext cx="6981825" cy="3693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Patient: BWR-XXXX RSS Methylation</a:t>
          </a:r>
          <a:r>
            <a:rPr lang="en-US" baseline="0"/>
            <a:t> Assay</a:t>
          </a:r>
          <a:endParaRPr lang="en-US"/>
        </a:p>
      </xdr:txBody>
    </xdr:sp>
    <xdr:clientData/>
  </xdr:twoCellAnchor>
  <xdr:absoluteAnchor>
    <xdr:pos x="2133600" y="1247775"/>
    <xdr:ext cx="4800600" cy="4495800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112187</xdr:colOff>
      <xdr:row>6</xdr:row>
      <xdr:rowOff>38100</xdr:rowOff>
    </xdr:from>
    <xdr:to>
      <xdr:col>10</xdr:col>
      <xdr:colOff>358613</xdr:colOff>
      <xdr:row>33</xdr:row>
      <xdr:rowOff>142874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83862" y="1181100"/>
          <a:ext cx="4847001" cy="5248274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323851</xdr:colOff>
      <xdr:row>2</xdr:row>
      <xdr:rowOff>7675</xdr:rowOff>
    </xdr:from>
    <xdr:to>
      <xdr:col>10</xdr:col>
      <xdr:colOff>123826</xdr:colOff>
      <xdr:row>5</xdr:row>
      <xdr:rowOff>171450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246169" y="388675"/>
          <a:ext cx="4285384" cy="735275"/>
          <a:chOff x="76201" y="417250"/>
          <a:chExt cx="4400550" cy="735275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6579" y="429362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102531" y="426774"/>
            <a:ext cx="3240869" cy="4685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DNA was isolated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using a  full isolation protocol</a:t>
            </a:r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.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Gain of methylation at PEG1 &amp; GRB10. </a:t>
            </a:r>
            <a:endParaRPr lang="en-US" sz="1200"/>
          </a:p>
          <a:p>
            <a:endParaRPr lang="en-US" sz="12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76201" y="417250"/>
            <a:ext cx="4400550" cy="735275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3</xdr:col>
      <xdr:colOff>342900</xdr:colOff>
      <xdr:row>29</xdr:row>
      <xdr:rowOff>110022</xdr:rowOff>
    </xdr:from>
    <xdr:to>
      <xdr:col>4</xdr:col>
      <xdr:colOff>542925</xdr:colOff>
      <xdr:row>32</xdr:row>
      <xdr:rowOff>167543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4575" y="5634522"/>
          <a:ext cx="857250" cy="629021"/>
        </a:xfrm>
        <a:prstGeom prst="rect">
          <a:avLst/>
        </a:prstGeom>
      </xdr:spPr>
    </xdr:pic>
    <xdr:clientData/>
  </xdr:twoCellAnchor>
  <xdr:twoCellAnchor editAs="oneCell">
    <xdr:from>
      <xdr:col>5</xdr:col>
      <xdr:colOff>28576</xdr:colOff>
      <xdr:row>29</xdr:row>
      <xdr:rowOff>168714</xdr:rowOff>
    </xdr:from>
    <xdr:to>
      <xdr:col>6</xdr:col>
      <xdr:colOff>533401</xdr:colOff>
      <xdr:row>32</xdr:row>
      <xdr:rowOff>76119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14701" y="5693214"/>
          <a:ext cx="1162050" cy="478905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29</xdr:row>
      <xdr:rowOff>190263</xdr:rowOff>
    </xdr:from>
    <xdr:to>
      <xdr:col>8</xdr:col>
      <xdr:colOff>523875</xdr:colOff>
      <xdr:row>31</xdr:row>
      <xdr:rowOff>114246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24400" y="5714763"/>
          <a:ext cx="1057275" cy="304983"/>
        </a:xfrm>
        <a:prstGeom prst="rect">
          <a:avLst/>
        </a:prstGeom>
      </xdr:spPr>
    </xdr:pic>
    <xdr:clientData/>
  </xdr:twoCellAnchor>
  <xdr:twoCellAnchor editAs="oneCell">
    <xdr:from>
      <xdr:col>8</xdr:col>
      <xdr:colOff>628651</xdr:colOff>
      <xdr:row>29</xdr:row>
      <xdr:rowOff>181120</xdr:rowOff>
    </xdr:from>
    <xdr:to>
      <xdr:col>10</xdr:col>
      <xdr:colOff>133351</xdr:colOff>
      <xdr:row>31</xdr:row>
      <xdr:rowOff>142826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86451" y="5705620"/>
          <a:ext cx="819150" cy="34270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sselleSilver worksheet template with lot numbers 'lot numbres$'.od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Reagent" tableColumnId="1"/>
      <queryTableField id="2" name="GRB10" tableColumnId="2"/>
      <queryTableField id="3" name="GRB10 Expiration Date" tableColumnId="3"/>
      <queryTableField id="4" name="PEG1" tableColumnId="4"/>
      <queryTableField id="5" name="PEG1 Expiration 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RusselleSilver_worksheet_template_with_lot_numbers__lot_numbres__.od" displayName="Table_RusselleSilver_worksheet_template_with_lot_numbers__lot_numbres__.od" ref="B19:F30" tableType="queryTable" totalsRowShown="0" headerRowDxfId="27" dataDxfId="25" headerRowBorderDxfId="26">
  <autoFilter ref="B19:F30" xr:uid="{00000000-0009-0000-0100-000002000000}"/>
  <tableColumns count="5">
    <tableColumn id="1" xr3:uid="{00000000-0010-0000-0000-000001000000}" uniqueName="1" name="Reagent" queryTableFieldId="1" dataDxfId="24"/>
    <tableColumn id="2" xr3:uid="{00000000-0010-0000-0000-000002000000}" uniqueName="2" name="GRB10" queryTableFieldId="2" dataDxfId="23"/>
    <tableColumn id="3" xr3:uid="{00000000-0010-0000-0000-000003000000}" uniqueName="3" name="GRB10 Expiration Date" queryTableFieldId="3" dataDxfId="22"/>
    <tableColumn id="4" xr3:uid="{00000000-0010-0000-0000-000004000000}" uniqueName="4" name="PEG1" queryTableFieldId="4" dataDxfId="21"/>
    <tableColumn id="5" xr3:uid="{00000000-0010-0000-0000-000005000000}" uniqueName="5" name="PEG1 Expiration Date" queryTableFieldId="5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K54"/>
  <sheetViews>
    <sheetView workbookViewId="0">
      <selection activeCell="A33" sqref="A33"/>
    </sheetView>
  </sheetViews>
  <sheetFormatPr defaultColWidth="8.85546875" defaultRowHeight="15" x14ac:dyDescent="0.2"/>
  <cols>
    <col min="1" max="1" width="28" style="3" bestFit="1" customWidth="1"/>
    <col min="2" max="2" width="18.140625" style="3" bestFit="1" customWidth="1"/>
    <col min="3" max="3" width="16.85546875" style="3" bestFit="1" customWidth="1"/>
    <col min="4" max="4" width="29.140625" style="3" customWidth="1"/>
    <col min="5" max="5" width="15.42578125" style="3" customWidth="1"/>
    <col min="6" max="6" width="27.425781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6.5" thickBot="1" x14ac:dyDescent="0.3">
      <c r="A1" s="1" t="s">
        <v>54</v>
      </c>
      <c r="B1" s="4"/>
      <c r="C1" s="4"/>
      <c r="D1" s="4"/>
    </row>
    <row r="2" spans="1:11" ht="16.5" thickBot="1" x14ac:dyDescent="0.3">
      <c r="A2" s="2"/>
      <c r="B2" s="47" t="s">
        <v>50</v>
      </c>
      <c r="C2" s="63" t="s">
        <v>55</v>
      </c>
      <c r="D2" s="48"/>
      <c r="G2" s="37" t="s">
        <v>51</v>
      </c>
      <c r="H2" s="64" t="s">
        <v>56</v>
      </c>
      <c r="I2" s="38"/>
    </row>
    <row r="3" spans="1:11" ht="15.75" x14ac:dyDescent="0.2">
      <c r="A3" s="2"/>
      <c r="B3" s="49" t="s">
        <v>5</v>
      </c>
      <c r="C3" s="6" t="s">
        <v>4</v>
      </c>
      <c r="D3" s="50"/>
      <c r="E3" s="3" t="s">
        <v>9</v>
      </c>
      <c r="G3" s="58" t="s">
        <v>5</v>
      </c>
      <c r="H3" s="6" t="s">
        <v>4</v>
      </c>
      <c r="I3" s="40"/>
    </row>
    <row r="4" spans="1:11" ht="15.75" x14ac:dyDescent="0.2">
      <c r="A4" s="3" t="s">
        <v>6</v>
      </c>
      <c r="B4" s="49" t="s">
        <v>1</v>
      </c>
      <c r="C4" s="6" t="s">
        <v>2</v>
      </c>
      <c r="D4" s="51" t="s">
        <v>3</v>
      </c>
      <c r="E4" s="3" t="s">
        <v>10</v>
      </c>
      <c r="F4" s="3" t="s">
        <v>11</v>
      </c>
      <c r="G4" s="39" t="s">
        <v>1</v>
      </c>
      <c r="H4" s="5" t="s">
        <v>2</v>
      </c>
      <c r="I4" s="41" t="s">
        <v>3</v>
      </c>
    </row>
    <row r="5" spans="1:11" ht="15.75" hidden="1" x14ac:dyDescent="0.2">
      <c r="B5" s="49">
        <v>0</v>
      </c>
      <c r="C5" s="6"/>
      <c r="D5" s="51"/>
      <c r="E5" s="19">
        <f>$D$16</f>
        <v>0.5</v>
      </c>
      <c r="F5" s="19">
        <f>$D$17</f>
        <v>0.5</v>
      </c>
      <c r="G5" s="39">
        <v>0</v>
      </c>
      <c r="H5" s="5"/>
      <c r="I5" s="41"/>
    </row>
    <row r="6" spans="1:11" ht="15.75" x14ac:dyDescent="0.25">
      <c r="A6" s="29" t="s">
        <v>12</v>
      </c>
      <c r="B6" s="52">
        <f>'Summarized Data'!B6</f>
        <v>0.5</v>
      </c>
      <c r="C6" s="31">
        <f>'Summarized Data'!C6</f>
        <v>0.5</v>
      </c>
      <c r="D6" s="53">
        <f>'Summarized Data'!D6</f>
        <v>0</v>
      </c>
      <c r="E6" s="31">
        <f>'Summarized Data'!E6</f>
        <v>0.5</v>
      </c>
      <c r="F6" s="31">
        <f>'Summarized Data'!F6</f>
        <v>0.5</v>
      </c>
      <c r="G6" s="42">
        <f>'Summarized Data'!G6</f>
        <v>0.5</v>
      </c>
      <c r="H6" s="31">
        <f>'Summarized Data'!H6</f>
        <v>0.5</v>
      </c>
      <c r="I6" s="43">
        <f>'Summarized Data'!I6</f>
        <v>0</v>
      </c>
    </row>
    <row r="7" spans="1:11" ht="15.75" x14ac:dyDescent="0.25">
      <c r="A7" s="30" t="s">
        <v>24</v>
      </c>
      <c r="B7" s="52">
        <f>'Summarized Data'!B7</f>
        <v>0.5</v>
      </c>
      <c r="C7" s="31">
        <f>'Summarized Data'!C7</f>
        <v>0.5</v>
      </c>
      <c r="D7" s="53">
        <f>'Summarized Data'!D7</f>
        <v>0</v>
      </c>
      <c r="E7" s="31">
        <f>'Summarized Data'!E7</f>
        <v>0.5</v>
      </c>
      <c r="F7" s="31">
        <f>'Summarized Data'!F7</f>
        <v>0.5</v>
      </c>
      <c r="G7" s="42">
        <f>'Summarized Data'!G7</f>
        <v>0.5</v>
      </c>
      <c r="H7" s="31">
        <f>'Summarized Data'!H7</f>
        <v>0.5</v>
      </c>
      <c r="I7" s="43">
        <f>'Summarized Data'!I7</f>
        <v>0</v>
      </c>
      <c r="J7"/>
      <c r="K7"/>
    </row>
    <row r="8" spans="1:11" ht="15.75" x14ac:dyDescent="0.25">
      <c r="A8" s="30" t="s">
        <v>25</v>
      </c>
      <c r="B8" s="52">
        <f>'Summarized Data'!B8</f>
        <v>0.5</v>
      </c>
      <c r="C8" s="31">
        <f>'Summarized Data'!C8</f>
        <v>0.5</v>
      </c>
      <c r="D8" s="53">
        <f>'Summarized Data'!D8</f>
        <v>0</v>
      </c>
      <c r="E8" s="31">
        <f>'Summarized Data'!E8</f>
        <v>0.5</v>
      </c>
      <c r="F8" s="31">
        <f>'Summarized Data'!F8</f>
        <v>0.5</v>
      </c>
      <c r="G8" s="42">
        <f>'Summarized Data'!G8</f>
        <v>0.5</v>
      </c>
      <c r="H8" s="31">
        <f>'Summarized Data'!H8</f>
        <v>0.5</v>
      </c>
      <c r="I8" s="43">
        <f>'Summarized Data'!I8</f>
        <v>0</v>
      </c>
      <c r="J8"/>
    </row>
    <row r="9" spans="1:11" ht="15.75" x14ac:dyDescent="0.25">
      <c r="A9" s="30" t="s">
        <v>26</v>
      </c>
      <c r="B9" s="52">
        <f>'Summarized Data'!B9</f>
        <v>0.5</v>
      </c>
      <c r="C9" s="31">
        <f>'Summarized Data'!C9</f>
        <v>0.5</v>
      </c>
      <c r="D9" s="53">
        <f>'Summarized Data'!D9</f>
        <v>0</v>
      </c>
      <c r="E9" s="31">
        <f>'Summarized Data'!E9</f>
        <v>0.5</v>
      </c>
      <c r="F9" s="31">
        <f>'Summarized Data'!F9</f>
        <v>0.5</v>
      </c>
      <c r="G9" s="42">
        <f>'Summarized Data'!G9</f>
        <v>0.5</v>
      </c>
      <c r="H9" s="31">
        <f>'Summarized Data'!H9</f>
        <v>0.5</v>
      </c>
      <c r="I9" s="43">
        <f>'Summarized Data'!I9</f>
        <v>0</v>
      </c>
    </row>
    <row r="10" spans="1:11" ht="16.5" thickBot="1" x14ac:dyDescent="0.3">
      <c r="A10" s="30" t="str">
        <f>'StepOne Data'!$A$6</f>
        <v>BWR-XXXX</v>
      </c>
      <c r="B10" s="54">
        <f>'Summarized Data'!B10</f>
        <v>0.5</v>
      </c>
      <c r="C10" s="55">
        <f>'Summarized Data'!C10</f>
        <v>0.5</v>
      </c>
      <c r="D10" s="56">
        <f>'Summarized Data'!D10</f>
        <v>0</v>
      </c>
      <c r="E10" s="31">
        <f>'Summarized Data'!E10</f>
        <v>0.5</v>
      </c>
      <c r="F10" s="31">
        <f>'Summarized Data'!F10</f>
        <v>0.5</v>
      </c>
      <c r="G10" s="44">
        <f>'Summarized Data'!G10</f>
        <v>0.5</v>
      </c>
      <c r="H10" s="45">
        <f>'Summarized Data'!H10</f>
        <v>0.5</v>
      </c>
      <c r="I10" s="46">
        <f>'Summarized Data'!I10</f>
        <v>0</v>
      </c>
    </row>
    <row r="11" spans="1:11" ht="15.75" hidden="1" x14ac:dyDescent="0.25">
      <c r="A11" s="4"/>
      <c r="B11" s="4">
        <v>0</v>
      </c>
      <c r="C11" s="4"/>
      <c r="D11" s="4"/>
      <c r="E11" s="19">
        <f t="shared" ref="E11" si="0">$D$16</f>
        <v>0.5</v>
      </c>
      <c r="F11" s="19">
        <f t="shared" ref="F11" si="1">$D$17</f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35</v>
      </c>
      <c r="D14" s="26">
        <f>'Summarized Data'!D14</f>
        <v>0.5</v>
      </c>
      <c r="E14"/>
      <c r="F14"/>
      <c r="J14"/>
    </row>
    <row r="15" spans="1:11" ht="15.75" x14ac:dyDescent="0.25">
      <c r="A15"/>
      <c r="C15" s="25" t="s">
        <v>36</v>
      </c>
      <c r="D15" s="65">
        <f>'Summarized Data'!D15</f>
        <v>0</v>
      </c>
      <c r="E15"/>
      <c r="F15"/>
      <c r="J15"/>
    </row>
    <row r="16" spans="1:11" ht="15.75" x14ac:dyDescent="0.25">
      <c r="A16"/>
      <c r="C16" s="25" t="s">
        <v>39</v>
      </c>
      <c r="D16" s="26">
        <f>'Summarized Data'!D16</f>
        <v>0.5</v>
      </c>
      <c r="E16"/>
      <c r="F16"/>
      <c r="J16"/>
    </row>
    <row r="17" spans="1:8" ht="15.75" x14ac:dyDescent="0.25">
      <c r="A17"/>
      <c r="B17"/>
      <c r="C17" s="25" t="s">
        <v>40</v>
      </c>
      <c r="D17" s="26">
        <f>'Summarized Data'!D17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/>
      <c r="B19" s="75" t="s">
        <v>65</v>
      </c>
      <c r="C19" s="76" t="s">
        <v>50</v>
      </c>
      <c r="D19" s="77" t="s">
        <v>66</v>
      </c>
      <c r="E19" s="77" t="s">
        <v>51</v>
      </c>
      <c r="F19" s="78" t="s">
        <v>67</v>
      </c>
    </row>
    <row r="20" spans="1:8" ht="15.75" x14ac:dyDescent="0.25">
      <c r="A20"/>
      <c r="B20" s="3" t="s">
        <v>68</v>
      </c>
      <c r="C20" s="3">
        <v>8444069</v>
      </c>
      <c r="D20" s="70">
        <v>49280</v>
      </c>
      <c r="E20" s="79">
        <v>403224043</v>
      </c>
      <c r="F20" s="70">
        <v>48884</v>
      </c>
    </row>
    <row r="21" spans="1:8" ht="15.75" x14ac:dyDescent="0.25">
      <c r="A21"/>
      <c r="B21" s="3" t="s">
        <v>69</v>
      </c>
      <c r="C21" s="3">
        <v>8444069</v>
      </c>
      <c r="D21" s="70">
        <v>49280</v>
      </c>
      <c r="E21" s="79">
        <v>403224042</v>
      </c>
      <c r="F21" s="70">
        <v>48884</v>
      </c>
    </row>
    <row r="22" spans="1:8" ht="15.75" x14ac:dyDescent="0.25">
      <c r="A22"/>
      <c r="B22" s="3" t="s">
        <v>70</v>
      </c>
      <c r="C22" s="80"/>
      <c r="D22" s="71"/>
      <c r="E22" s="79">
        <v>403224045</v>
      </c>
      <c r="F22" s="70">
        <v>48884</v>
      </c>
    </row>
    <row r="23" spans="1:8" ht="15.75" x14ac:dyDescent="0.25">
      <c r="A23"/>
      <c r="B23" s="3" t="s">
        <v>71</v>
      </c>
      <c r="C23" s="80"/>
      <c r="D23" s="71"/>
      <c r="E23" s="79">
        <v>403825829</v>
      </c>
      <c r="F23" s="70">
        <v>48975</v>
      </c>
    </row>
    <row r="24" spans="1:8" ht="15.75" x14ac:dyDescent="0.25">
      <c r="A24"/>
      <c r="B24" s="3" t="s">
        <v>72</v>
      </c>
      <c r="C24" s="85">
        <v>8056462</v>
      </c>
      <c r="D24" s="72">
        <v>48653</v>
      </c>
      <c r="E24" s="79">
        <v>609361229</v>
      </c>
      <c r="F24" s="72">
        <v>48902</v>
      </c>
    </row>
    <row r="25" spans="1:8" ht="15.75" x14ac:dyDescent="0.25">
      <c r="A25"/>
      <c r="B25" s="3" t="s">
        <v>73</v>
      </c>
      <c r="C25" s="85">
        <v>8056462</v>
      </c>
      <c r="D25" s="72">
        <v>48653</v>
      </c>
      <c r="E25" s="79">
        <v>403249510</v>
      </c>
      <c r="F25" s="72">
        <v>48884</v>
      </c>
    </row>
    <row r="26" spans="1:8" ht="15.75" x14ac:dyDescent="0.25">
      <c r="A26"/>
      <c r="C26" s="8"/>
      <c r="F26" s="70"/>
    </row>
    <row r="27" spans="1:8" ht="15.75" x14ac:dyDescent="0.25">
      <c r="A27"/>
    </row>
    <row r="28" spans="1:8" ht="15.75" x14ac:dyDescent="0.25">
      <c r="B28" s="73" t="s">
        <v>65</v>
      </c>
      <c r="C28" s="74" t="s">
        <v>78</v>
      </c>
      <c r="D28" s="74" t="s">
        <v>79</v>
      </c>
      <c r="E28" s="74"/>
      <c r="F28" s="81"/>
    </row>
    <row r="29" spans="1:8" x14ac:dyDescent="0.2">
      <c r="B29" s="3" t="s">
        <v>74</v>
      </c>
      <c r="C29" s="3">
        <v>3163650</v>
      </c>
      <c r="D29" s="70">
        <v>46387</v>
      </c>
      <c r="E29" s="82"/>
    </row>
    <row r="30" spans="1:8" x14ac:dyDescent="0.2">
      <c r="B30" s="3" t="s">
        <v>75</v>
      </c>
      <c r="C30" s="3">
        <v>333302</v>
      </c>
      <c r="D30" s="70">
        <v>46133</v>
      </c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6" x14ac:dyDescent="0.2">
      <c r="A33" s="4" t="str">
        <f>'StepOne Data'!A1</f>
        <v>RSS_QS6_METHYL_XXX_MMDDYY_XX</v>
      </c>
      <c r="C33" s="12"/>
      <c r="D33" s="12"/>
      <c r="E33" s="12"/>
    </row>
    <row r="34" spans="1:6" ht="15.75" x14ac:dyDescent="0.25">
      <c r="A34" s="4"/>
      <c r="B34"/>
      <c r="C34" s="12"/>
      <c r="D34" s="86"/>
      <c r="E34" s="86"/>
      <c r="F34" s="86"/>
    </row>
    <row r="35" spans="1:6" ht="15.75" x14ac:dyDescent="0.25">
      <c r="A35" s="4"/>
      <c r="B35"/>
      <c r="C35" s="12"/>
      <c r="D35" s="87"/>
      <c r="E35" s="87"/>
      <c r="F35" s="87"/>
    </row>
    <row r="36" spans="1:6" ht="15.75" x14ac:dyDescent="0.25">
      <c r="A36" s="4"/>
      <c r="B36"/>
      <c r="C36" s="12"/>
      <c r="D36" s="87"/>
      <c r="E36" s="87"/>
      <c r="F36" s="87"/>
    </row>
    <row r="37" spans="1:6" x14ac:dyDescent="0.2">
      <c r="A37" s="4"/>
      <c r="C37" s="12"/>
      <c r="D37" s="87"/>
      <c r="E37" s="87"/>
      <c r="F37" s="87"/>
    </row>
    <row r="38" spans="1:6" ht="15.75" x14ac:dyDescent="0.25">
      <c r="A38" s="4"/>
      <c r="B38"/>
      <c r="C38" s="12"/>
      <c r="D38" s="88"/>
      <c r="E38" s="88"/>
      <c r="F38" s="88"/>
    </row>
    <row r="39" spans="1:6" ht="15.75" x14ac:dyDescent="0.25">
      <c r="A39" s="4"/>
      <c r="B39"/>
      <c r="C39" s="12"/>
      <c r="D39" s="88"/>
      <c r="E39" s="88"/>
      <c r="F39" s="88"/>
    </row>
    <row r="40" spans="1:6" ht="15.75" x14ac:dyDescent="0.25">
      <c r="A40" s="4"/>
      <c r="B40"/>
      <c r="C40" s="12"/>
      <c r="D40" s="12"/>
      <c r="E40" s="12"/>
    </row>
    <row r="41" spans="1:6" ht="15.75" x14ac:dyDescent="0.25">
      <c r="A41" s="4"/>
      <c r="B41"/>
      <c r="C41" s="12"/>
      <c r="D41" s="12"/>
      <c r="E41" s="12"/>
    </row>
    <row r="42" spans="1:6" ht="15.75" x14ac:dyDescent="0.25">
      <c r="A42"/>
      <c r="B42"/>
      <c r="C42" s="12"/>
      <c r="D42" s="12"/>
      <c r="E42" s="12"/>
    </row>
    <row r="43" spans="1:6" ht="15.75" x14ac:dyDescent="0.25">
      <c r="A43"/>
      <c r="B43"/>
      <c r="C43" s="12"/>
      <c r="D43" s="12"/>
      <c r="E43" s="12"/>
    </row>
    <row r="44" spans="1:6" ht="15.75" x14ac:dyDescent="0.25">
      <c r="A44"/>
      <c r="B44"/>
      <c r="C44" s="12"/>
      <c r="D44" s="12"/>
      <c r="E44" s="12"/>
    </row>
    <row r="45" spans="1:6" ht="15.75" x14ac:dyDescent="0.25">
      <c r="A45"/>
      <c r="B45"/>
      <c r="C45" s="4"/>
      <c r="D45" s="4"/>
    </row>
    <row r="46" spans="1:6" ht="15.75" x14ac:dyDescent="0.25">
      <c r="A46"/>
      <c r="B46"/>
      <c r="C46" s="4"/>
      <c r="D46" s="4"/>
    </row>
    <row r="47" spans="1:6" ht="15.75" x14ac:dyDescent="0.25">
      <c r="A47"/>
      <c r="B47"/>
      <c r="C47" s="4"/>
      <c r="D47" s="4"/>
    </row>
    <row r="48" spans="1:6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phoneticPr fontId="23" type="noConversion"/>
  <pageMargins left="0.7" right="0.7" top="0.75" bottom="0.75" header="0.3" footer="0.3"/>
  <pageSetup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G8"/>
  <sheetViews>
    <sheetView showGridLines="0" showRowColHeaders="0" showRuler="0" view="pageLayout" zoomScale="110" zoomScaleNormal="100" zoomScalePageLayoutView="110" workbookViewId="0">
      <selection activeCell="M20" sqref="M20"/>
    </sheetView>
  </sheetViews>
  <sheetFormatPr defaultColWidth="8.85546875" defaultRowHeight="15" x14ac:dyDescent="0.25"/>
  <sheetData>
    <row r="8" spans="7:7" x14ac:dyDescent="0.25">
      <c r="G8" t="s">
        <v>80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landscape" r:id="rId2"/>
  <headerFooter>
    <oddFooter>&amp;CTemplate Rev 05.25.16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54"/>
  <sheetViews>
    <sheetView workbookViewId="0">
      <selection activeCell="F28" sqref="F28"/>
    </sheetView>
  </sheetViews>
  <sheetFormatPr defaultColWidth="8.85546875" defaultRowHeight="15" x14ac:dyDescent="0.2"/>
  <cols>
    <col min="1" max="1" width="23.42578125" style="3" bestFit="1" customWidth="1"/>
    <col min="2" max="2" width="16.42578125" style="3" bestFit="1" customWidth="1"/>
    <col min="3" max="3" width="16.85546875" style="3" bestFit="1" customWidth="1"/>
    <col min="4" max="4" width="8.85546875" style="3"/>
    <col min="5" max="5" width="9" style="3" bestFit="1" customWidth="1"/>
    <col min="6" max="6" width="14.285156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54</v>
      </c>
      <c r="B1" s="4"/>
      <c r="C1" s="4"/>
      <c r="D1" s="4"/>
    </row>
    <row r="2" spans="1:11" ht="15.75" x14ac:dyDescent="0.2">
      <c r="A2" s="2"/>
      <c r="B2" s="60" t="s">
        <v>50</v>
      </c>
      <c r="C2" s="4" t="s">
        <v>55</v>
      </c>
      <c r="D2" s="4"/>
      <c r="G2" s="59" t="s">
        <v>51</v>
      </c>
      <c r="H2" s="4" t="s">
        <v>56</v>
      </c>
      <c r="I2" s="4"/>
    </row>
    <row r="3" spans="1:11" ht="15.75" x14ac:dyDescent="0.2">
      <c r="A3" s="2"/>
      <c r="B3" s="5" t="s">
        <v>5</v>
      </c>
      <c r="C3" s="6" t="s">
        <v>4</v>
      </c>
      <c r="D3" s="4"/>
      <c r="E3" s="3" t="s">
        <v>9</v>
      </c>
      <c r="G3" s="6" t="s">
        <v>5</v>
      </c>
      <c r="H3" s="5" t="s">
        <v>4</v>
      </c>
    </row>
    <row r="4" spans="1:11" ht="15.75" x14ac:dyDescent="0.2">
      <c r="A4" s="3" t="s">
        <v>6</v>
      </c>
      <c r="B4" s="5" t="s">
        <v>1</v>
      </c>
      <c r="C4" s="6" t="s">
        <v>2</v>
      </c>
      <c r="D4" s="6" t="s">
        <v>3</v>
      </c>
      <c r="E4" s="3" t="s">
        <v>10</v>
      </c>
      <c r="F4" s="3" t="s">
        <v>11</v>
      </c>
      <c r="G4" s="6" t="s">
        <v>1</v>
      </c>
      <c r="H4" s="5" t="s">
        <v>2</v>
      </c>
      <c r="I4" s="6" t="s">
        <v>3</v>
      </c>
    </row>
    <row r="5" spans="1:11" ht="15.75" x14ac:dyDescent="0.2">
      <c r="B5" s="5">
        <v>0</v>
      </c>
      <c r="C5" s="6"/>
      <c r="D5" s="6"/>
      <c r="E5" s="19">
        <f>$D$16</f>
        <v>0.5</v>
      </c>
      <c r="F5" s="19">
        <f>$D$17</f>
        <v>0.5</v>
      </c>
      <c r="G5" s="6">
        <v>0</v>
      </c>
      <c r="H5" s="5"/>
      <c r="I5" s="6"/>
    </row>
    <row r="6" spans="1:11" ht="15.75" x14ac:dyDescent="0.25">
      <c r="A6" s="21" t="s">
        <v>12</v>
      </c>
      <c r="B6" s="28">
        <v>0.5</v>
      </c>
      <c r="C6" s="22">
        <v>0.5</v>
      </c>
      <c r="D6" s="22">
        <v>0</v>
      </c>
      <c r="E6" s="23">
        <f t="shared" ref="E6:E11" si="0">$D$16</f>
        <v>0.5</v>
      </c>
      <c r="F6" s="23">
        <f t="shared" ref="F6:F11" si="1">$D$17</f>
        <v>0.5</v>
      </c>
      <c r="G6" s="22">
        <v>0.5</v>
      </c>
      <c r="H6" s="28">
        <v>0.5</v>
      </c>
      <c r="I6" s="22">
        <v>0</v>
      </c>
    </row>
    <row r="7" spans="1:11" ht="15.75" x14ac:dyDescent="0.25">
      <c r="A7" s="24" t="s">
        <v>24</v>
      </c>
      <c r="B7" s="28">
        <v>0.5</v>
      </c>
      <c r="C7" s="22">
        <v>0.5</v>
      </c>
      <c r="D7" s="22">
        <v>0</v>
      </c>
      <c r="E7" s="23">
        <f t="shared" si="0"/>
        <v>0.5</v>
      </c>
      <c r="F7" s="23">
        <f t="shared" si="1"/>
        <v>0.5</v>
      </c>
      <c r="G7" s="22">
        <v>0.5</v>
      </c>
      <c r="H7" s="28">
        <v>0.5</v>
      </c>
      <c r="I7" s="22">
        <v>0</v>
      </c>
      <c r="J7"/>
      <c r="K7"/>
    </row>
    <row r="8" spans="1:11" ht="15.75" x14ac:dyDescent="0.25">
      <c r="A8" s="24" t="s">
        <v>25</v>
      </c>
      <c r="B8" s="28">
        <v>0.5</v>
      </c>
      <c r="C8" s="22">
        <v>0.5</v>
      </c>
      <c r="D8" s="22">
        <v>0</v>
      </c>
      <c r="E8" s="23">
        <f t="shared" si="0"/>
        <v>0.5</v>
      </c>
      <c r="F8" s="23">
        <f t="shared" si="1"/>
        <v>0.5</v>
      </c>
      <c r="G8" s="22">
        <v>0.5</v>
      </c>
      <c r="H8" s="28">
        <v>0.5</v>
      </c>
      <c r="I8" s="22">
        <v>0</v>
      </c>
      <c r="J8"/>
    </row>
    <row r="9" spans="1:11" ht="15.75" x14ac:dyDescent="0.25">
      <c r="A9" s="24" t="s">
        <v>26</v>
      </c>
      <c r="B9" s="28">
        <v>0.5</v>
      </c>
      <c r="C9" s="22">
        <v>0.5</v>
      </c>
      <c r="D9" s="22">
        <v>0</v>
      </c>
      <c r="E9" s="23">
        <f t="shared" si="0"/>
        <v>0.5</v>
      </c>
      <c r="F9" s="23">
        <f t="shared" si="1"/>
        <v>0.5</v>
      </c>
      <c r="G9" s="22">
        <v>0.5</v>
      </c>
      <c r="H9" s="28">
        <v>0.5</v>
      </c>
      <c r="I9" s="22">
        <v>0</v>
      </c>
    </row>
    <row r="10" spans="1:11" ht="15.75" x14ac:dyDescent="0.25">
      <c r="A10" s="24" t="str">
        <f>'StepOne Data'!$A$6</f>
        <v>BWR-XXXX</v>
      </c>
      <c r="B10" s="28">
        <v>0.5</v>
      </c>
      <c r="C10" s="22">
        <v>0.5</v>
      </c>
      <c r="D10" s="22">
        <v>0</v>
      </c>
      <c r="E10" s="23">
        <f t="shared" si="0"/>
        <v>0.5</v>
      </c>
      <c r="F10" s="23">
        <f t="shared" si="1"/>
        <v>0.5</v>
      </c>
      <c r="G10" s="22">
        <v>0.5</v>
      </c>
      <c r="H10" s="28">
        <v>0.5</v>
      </c>
      <c r="I10" s="22">
        <v>0</v>
      </c>
    </row>
    <row r="11" spans="1:11" ht="15.75" x14ac:dyDescent="0.25">
      <c r="A11" s="4"/>
      <c r="B11" s="4">
        <v>0</v>
      </c>
      <c r="C11" s="4"/>
      <c r="D11" s="4"/>
      <c r="E11" s="19">
        <f t="shared" si="0"/>
        <v>0.5</v>
      </c>
      <c r="F11" s="19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35</v>
      </c>
      <c r="D14" s="26">
        <f>'RAW DATA'!$U$20</f>
        <v>0.5</v>
      </c>
      <c r="E14"/>
      <c r="F14"/>
      <c r="J14"/>
    </row>
    <row r="15" spans="1:11" ht="15.75" x14ac:dyDescent="0.25">
      <c r="A15"/>
      <c r="C15" s="25" t="s">
        <v>36</v>
      </c>
      <c r="D15" s="65">
        <f>'RAW DATA'!$U$21</f>
        <v>0</v>
      </c>
      <c r="E15"/>
      <c r="F15"/>
      <c r="J15"/>
    </row>
    <row r="16" spans="1:11" ht="15.75" x14ac:dyDescent="0.25">
      <c r="A16"/>
      <c r="C16" s="25" t="s">
        <v>39</v>
      </c>
      <c r="D16" s="27">
        <f>D14-(2*D15)</f>
        <v>0.5</v>
      </c>
      <c r="E16"/>
      <c r="F16"/>
      <c r="J16"/>
    </row>
    <row r="17" spans="1:8" ht="15.75" x14ac:dyDescent="0.25">
      <c r="A17"/>
      <c r="B17"/>
      <c r="C17" s="25" t="s">
        <v>40</v>
      </c>
      <c r="D17" s="27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RSS_QS6_METHYL_XXX_MMDDYY_XX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  <c r="F21"/>
      <c r="H21" s="8"/>
    </row>
    <row r="22" spans="1:8" ht="15.75" x14ac:dyDescent="0.25">
      <c r="A22"/>
      <c r="B22"/>
      <c r="C22"/>
      <c r="D22"/>
      <c r="E22"/>
      <c r="F22"/>
      <c r="H22" s="8"/>
    </row>
    <row r="23" spans="1:8" ht="15.75" x14ac:dyDescent="0.25">
      <c r="A23"/>
      <c r="B23"/>
      <c r="C23"/>
      <c r="D23"/>
      <c r="E23"/>
      <c r="F23"/>
      <c r="H23" s="8"/>
    </row>
    <row r="24" spans="1:8" ht="15.75" x14ac:dyDescent="0.25">
      <c r="A24"/>
      <c r="B24"/>
      <c r="C24"/>
      <c r="D24"/>
      <c r="E24"/>
      <c r="F24"/>
      <c r="H24" s="8"/>
    </row>
    <row r="25" spans="1:8" ht="15.75" x14ac:dyDescent="0.25">
      <c r="A25"/>
      <c r="B25"/>
      <c r="C25"/>
      <c r="D25"/>
      <c r="E25"/>
      <c r="F25"/>
      <c r="H25" s="8"/>
    </row>
    <row r="26" spans="1:8" ht="15.75" x14ac:dyDescent="0.25">
      <c r="A26"/>
      <c r="B26"/>
      <c r="C26"/>
      <c r="D26"/>
      <c r="E26"/>
      <c r="F26"/>
      <c r="H26" s="8"/>
    </row>
    <row r="27" spans="1:8" ht="15.75" x14ac:dyDescent="0.25">
      <c r="A27"/>
      <c r="B27"/>
      <c r="C27"/>
      <c r="D27"/>
      <c r="E27"/>
      <c r="F27"/>
    </row>
    <row r="28" spans="1:8" ht="15.75" x14ac:dyDescent="0.25">
      <c r="A28"/>
      <c r="B28"/>
      <c r="C28"/>
      <c r="D28"/>
      <c r="E28"/>
    </row>
    <row r="29" spans="1:8" ht="15.75" x14ac:dyDescent="0.25">
      <c r="A29"/>
      <c r="B29"/>
      <c r="C29"/>
      <c r="D29"/>
      <c r="E29"/>
    </row>
    <row r="30" spans="1:8" ht="15.75" x14ac:dyDescent="0.25">
      <c r="A30"/>
      <c r="B30"/>
      <c r="C30"/>
      <c r="D30"/>
      <c r="E30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x14ac:dyDescent="0.2">
      <c r="A33" s="4"/>
      <c r="C33" s="12"/>
      <c r="D33" s="12"/>
      <c r="E33" s="12"/>
    </row>
    <row r="34" spans="1:5" ht="15.75" x14ac:dyDescent="0.25">
      <c r="A34" s="4"/>
      <c r="B34"/>
      <c r="C34" s="12"/>
      <c r="D34" s="12"/>
      <c r="E34" s="12"/>
    </row>
    <row r="35" spans="1:5" ht="15.75" x14ac:dyDescent="0.25">
      <c r="A35" s="4"/>
      <c r="B35"/>
      <c r="C35" s="12"/>
      <c r="D35" s="12"/>
      <c r="E35" s="12"/>
    </row>
    <row r="36" spans="1:5" ht="15.75" x14ac:dyDescent="0.25">
      <c r="A36" s="4"/>
      <c r="B36"/>
      <c r="C36" s="12"/>
      <c r="D36" s="12"/>
      <c r="E36" s="12"/>
    </row>
    <row r="37" spans="1:5" x14ac:dyDescent="0.2">
      <c r="A37" s="4"/>
      <c r="C37" s="12"/>
      <c r="D37" s="12"/>
      <c r="E37" s="12"/>
    </row>
    <row r="38" spans="1:5" ht="15.75" x14ac:dyDescent="0.25">
      <c r="A38" s="4"/>
      <c r="B38"/>
      <c r="C38" s="12"/>
      <c r="D38" s="12"/>
      <c r="E38" s="12"/>
    </row>
    <row r="39" spans="1:5" ht="15.75" x14ac:dyDescent="0.25">
      <c r="A39" s="4"/>
      <c r="B39"/>
      <c r="C39" s="12"/>
      <c r="D39" s="12"/>
      <c r="E39" s="12"/>
    </row>
    <row r="40" spans="1:5" ht="15.75" x14ac:dyDescent="0.25">
      <c r="A40" s="4"/>
      <c r="B40"/>
      <c r="C40" s="12"/>
      <c r="D40" s="12"/>
      <c r="E40" s="12"/>
    </row>
    <row r="41" spans="1:5" ht="15.75" x14ac:dyDescent="0.25">
      <c r="A41" s="4"/>
      <c r="B41"/>
      <c r="C41" s="12"/>
      <c r="D41" s="12"/>
      <c r="E41" s="12"/>
    </row>
    <row r="42" spans="1:5" ht="15.75" x14ac:dyDescent="0.25">
      <c r="A42"/>
      <c r="B42"/>
      <c r="C42" s="12"/>
      <c r="D42" s="12"/>
      <c r="E42" s="12"/>
    </row>
    <row r="43" spans="1:5" ht="15.75" x14ac:dyDescent="0.25">
      <c r="A43"/>
      <c r="B43"/>
      <c r="C43" s="12"/>
      <c r="D43" s="12"/>
      <c r="E43" s="12"/>
    </row>
    <row r="44" spans="1:5" ht="15.75" x14ac:dyDescent="0.25">
      <c r="A44"/>
      <c r="B44"/>
      <c r="C44" s="12"/>
      <c r="D44" s="12"/>
      <c r="E44" s="12"/>
    </row>
    <row r="45" spans="1:5" ht="15.75" x14ac:dyDescent="0.25">
      <c r="A45"/>
      <c r="B45"/>
      <c r="C45" s="4"/>
      <c r="D45" s="4"/>
    </row>
    <row r="46" spans="1:5" ht="15.75" x14ac:dyDescent="0.25">
      <c r="A46"/>
      <c r="B46"/>
      <c r="C46" s="4"/>
      <c r="D46" s="4"/>
    </row>
    <row r="47" spans="1:5" ht="15.75" x14ac:dyDescent="0.25">
      <c r="A47"/>
      <c r="B47"/>
      <c r="C47" s="4"/>
      <c r="D47" s="4"/>
    </row>
    <row r="48" spans="1:5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greaterThan">
      <formula>0.035</formula>
    </cfRule>
  </conditionalFormatting>
  <conditionalFormatting sqref="D6:D10 I6:I10">
    <cfRule type="cellIs" dxfId="18" priority="1" operator="between">
      <formula>0.03</formula>
      <formula>0.035</formula>
    </cfRule>
  </conditionalFormatting>
  <pageMargins left="0.7" right="0.7" top="0.75" bottom="0.75" header="0.3" footer="0.3"/>
  <pageSetup scale="87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G7" sqref="G7"/>
    </sheetView>
  </sheetViews>
  <sheetFormatPr defaultColWidth="8.85546875" defaultRowHeight="15" x14ac:dyDescent="0.25"/>
  <cols>
    <col min="1" max="1" width="16.28515625" customWidth="1"/>
    <col min="2" max="2" width="12.28515625" bestFit="1" customWidth="1"/>
    <col min="3" max="3" width="12" customWidth="1"/>
    <col min="8" max="8" width="16.42578125" bestFit="1" customWidth="1"/>
    <col min="9" max="9" width="13.7109375" bestFit="1" customWidth="1"/>
    <col min="10" max="10" width="12" bestFit="1" customWidth="1"/>
  </cols>
  <sheetData>
    <row r="1" spans="1:9" x14ac:dyDescent="0.25">
      <c r="A1" t="s">
        <v>81</v>
      </c>
    </row>
    <row r="2" spans="1:9" x14ac:dyDescent="0.25">
      <c r="E2" s="15" t="s">
        <v>45</v>
      </c>
      <c r="F2" s="15"/>
      <c r="G2" s="15"/>
      <c r="H2" s="15"/>
    </row>
    <row r="4" spans="1:9" x14ac:dyDescent="0.25">
      <c r="B4" s="33" t="s">
        <v>46</v>
      </c>
      <c r="I4" s="33" t="s">
        <v>47</v>
      </c>
    </row>
    <row r="6" spans="1:9" x14ac:dyDescent="0.25">
      <c r="A6" s="83" t="s">
        <v>82</v>
      </c>
      <c r="B6" t="s">
        <v>46</v>
      </c>
      <c r="H6" t="str">
        <f>$A$6</f>
        <v>BWR-XXXX</v>
      </c>
      <c r="I6" t="s">
        <v>47</v>
      </c>
    </row>
    <row r="7" spans="1:9" x14ac:dyDescent="0.25">
      <c r="A7" t="str">
        <f>$A$6</f>
        <v>BWR-XXXX</v>
      </c>
      <c r="B7" t="s">
        <v>46</v>
      </c>
      <c r="H7" t="str">
        <f>$A$6</f>
        <v>BWR-XXXX</v>
      </c>
      <c r="I7" t="s">
        <v>47</v>
      </c>
    </row>
    <row r="8" spans="1:9" x14ac:dyDescent="0.25">
      <c r="A8" t="str">
        <f>$A$6</f>
        <v>BWR-XXXX</v>
      </c>
      <c r="B8" t="s">
        <v>46</v>
      </c>
      <c r="H8" t="str">
        <f>$A$6</f>
        <v>BWR-XXXX</v>
      </c>
      <c r="I8" t="s">
        <v>47</v>
      </c>
    </row>
    <row r="9" spans="1:9" x14ac:dyDescent="0.25">
      <c r="A9" t="s">
        <v>84</v>
      </c>
      <c r="B9" t="s">
        <v>46</v>
      </c>
      <c r="H9" t="s">
        <v>84</v>
      </c>
      <c r="I9" t="s">
        <v>47</v>
      </c>
    </row>
    <row r="10" spans="1:9" x14ac:dyDescent="0.25">
      <c r="A10" t="s">
        <v>84</v>
      </c>
      <c r="B10" t="s">
        <v>46</v>
      </c>
      <c r="H10" t="s">
        <v>84</v>
      </c>
      <c r="I10" t="s">
        <v>47</v>
      </c>
    </row>
    <row r="11" spans="1:9" x14ac:dyDescent="0.25">
      <c r="A11" t="s">
        <v>84</v>
      </c>
      <c r="B11" t="s">
        <v>46</v>
      </c>
      <c r="H11" t="s">
        <v>84</v>
      </c>
      <c r="I11" t="s">
        <v>47</v>
      </c>
    </row>
    <row r="12" spans="1:9" x14ac:dyDescent="0.25">
      <c r="A12" s="83" t="s">
        <v>83</v>
      </c>
      <c r="B12" t="s">
        <v>46</v>
      </c>
      <c r="H12" t="str">
        <f>A12</f>
        <v>Control X</v>
      </c>
      <c r="I12" t="s">
        <v>47</v>
      </c>
    </row>
    <row r="13" spans="1:9" x14ac:dyDescent="0.25">
      <c r="A13" s="83" t="s">
        <v>83</v>
      </c>
      <c r="B13" t="s">
        <v>46</v>
      </c>
      <c r="H13" t="str">
        <f t="shared" ref="H13:H20" si="0">A13</f>
        <v>Control X</v>
      </c>
      <c r="I13" t="s">
        <v>47</v>
      </c>
    </row>
    <row r="14" spans="1:9" x14ac:dyDescent="0.25">
      <c r="A14" s="83" t="s">
        <v>83</v>
      </c>
      <c r="B14" t="s">
        <v>46</v>
      </c>
      <c r="H14" t="str">
        <f t="shared" si="0"/>
        <v>Control X</v>
      </c>
      <c r="I14" t="s">
        <v>47</v>
      </c>
    </row>
    <row r="15" spans="1:9" x14ac:dyDescent="0.25">
      <c r="A15" s="83" t="s">
        <v>83</v>
      </c>
      <c r="B15" t="s">
        <v>46</v>
      </c>
      <c r="H15" t="str">
        <f t="shared" si="0"/>
        <v>Control X</v>
      </c>
      <c r="I15" t="s">
        <v>47</v>
      </c>
    </row>
    <row r="16" spans="1:9" x14ac:dyDescent="0.25">
      <c r="A16" s="83" t="s">
        <v>83</v>
      </c>
      <c r="B16" t="s">
        <v>46</v>
      </c>
      <c r="H16" t="str">
        <f t="shared" si="0"/>
        <v>Control X</v>
      </c>
      <c r="I16" t="s">
        <v>47</v>
      </c>
    </row>
    <row r="17" spans="1:10" x14ac:dyDescent="0.25">
      <c r="A17" s="83" t="s">
        <v>83</v>
      </c>
      <c r="B17" t="s">
        <v>46</v>
      </c>
      <c r="H17" t="str">
        <f t="shared" si="0"/>
        <v>Control X</v>
      </c>
      <c r="I17" t="s">
        <v>47</v>
      </c>
    </row>
    <row r="18" spans="1:10" x14ac:dyDescent="0.25">
      <c r="A18" s="83" t="s">
        <v>83</v>
      </c>
      <c r="B18" t="s">
        <v>46</v>
      </c>
      <c r="E18" t="s">
        <v>64</v>
      </c>
      <c r="H18" t="str">
        <f t="shared" si="0"/>
        <v>Control X</v>
      </c>
      <c r="I18" t="s">
        <v>47</v>
      </c>
    </row>
    <row r="19" spans="1:10" x14ac:dyDescent="0.25">
      <c r="A19" s="83" t="s">
        <v>83</v>
      </c>
      <c r="B19" t="s">
        <v>46</v>
      </c>
      <c r="H19" t="str">
        <f t="shared" si="0"/>
        <v>Control X</v>
      </c>
      <c r="I19" t="s">
        <v>47</v>
      </c>
    </row>
    <row r="20" spans="1:10" x14ac:dyDescent="0.25">
      <c r="A20" s="83" t="s">
        <v>83</v>
      </c>
      <c r="B20" t="s">
        <v>46</v>
      </c>
      <c r="H20" t="str">
        <f t="shared" si="0"/>
        <v>Control X</v>
      </c>
      <c r="I20" t="s">
        <v>47</v>
      </c>
    </row>
    <row r="21" spans="1:10" x14ac:dyDescent="0.25">
      <c r="A21" s="89"/>
    </row>
    <row r="23" spans="1:10" x14ac:dyDescent="0.25">
      <c r="B23" s="34" t="s">
        <v>48</v>
      </c>
      <c r="C23" s="84"/>
      <c r="I23" s="34" t="s">
        <v>49</v>
      </c>
      <c r="J23" s="14"/>
    </row>
    <row r="24" spans="1:10" x14ac:dyDescent="0.25">
      <c r="A24" t="str">
        <f>A6</f>
        <v>BWR-XXXX</v>
      </c>
      <c r="B24" t="s">
        <v>48</v>
      </c>
      <c r="E24" s="57"/>
      <c r="H24" t="str">
        <f>$A$6</f>
        <v>BWR-XXXX</v>
      </c>
      <c r="I24" t="s">
        <v>49</v>
      </c>
    </row>
    <row r="25" spans="1:10" x14ac:dyDescent="0.25">
      <c r="A25" t="str">
        <f>A6</f>
        <v>BWR-XXXX</v>
      </c>
      <c r="B25" t="s">
        <v>48</v>
      </c>
      <c r="E25" s="57"/>
      <c r="H25" t="str">
        <f>$A$6</f>
        <v>BWR-XXXX</v>
      </c>
      <c r="I25" t="s">
        <v>49</v>
      </c>
    </row>
    <row r="26" spans="1:10" x14ac:dyDescent="0.25">
      <c r="A26" t="str">
        <f>A6</f>
        <v>BWR-XXXX</v>
      </c>
      <c r="B26" t="s">
        <v>48</v>
      </c>
      <c r="E26" s="57"/>
      <c r="H26" t="str">
        <f>$A$6</f>
        <v>BWR-XXXX</v>
      </c>
      <c r="I26" t="s">
        <v>49</v>
      </c>
    </row>
    <row r="27" spans="1:10" x14ac:dyDescent="0.25">
      <c r="A27" t="s">
        <v>84</v>
      </c>
      <c r="B27" t="s">
        <v>48</v>
      </c>
      <c r="E27" s="57"/>
      <c r="H27" t="s">
        <v>84</v>
      </c>
      <c r="I27" t="s">
        <v>49</v>
      </c>
    </row>
    <row r="28" spans="1:10" x14ac:dyDescent="0.25">
      <c r="A28" t="s">
        <v>84</v>
      </c>
      <c r="B28" t="s">
        <v>48</v>
      </c>
      <c r="E28" s="57"/>
      <c r="H28" t="s">
        <v>84</v>
      </c>
      <c r="I28" t="s">
        <v>49</v>
      </c>
    </row>
    <row r="29" spans="1:10" x14ac:dyDescent="0.25">
      <c r="A29" t="s">
        <v>84</v>
      </c>
      <c r="B29" t="s">
        <v>48</v>
      </c>
      <c r="E29" s="57"/>
      <c r="H29" t="s">
        <v>84</v>
      </c>
      <c r="I29" t="s">
        <v>49</v>
      </c>
    </row>
    <row r="30" spans="1:10" x14ac:dyDescent="0.25">
      <c r="A30" s="83" t="s">
        <v>83</v>
      </c>
      <c r="B30" t="s">
        <v>48</v>
      </c>
      <c r="E30" s="57"/>
      <c r="H30" t="str">
        <f>A30</f>
        <v>Control X</v>
      </c>
      <c r="I30" t="s">
        <v>49</v>
      </c>
    </row>
    <row r="31" spans="1:10" x14ac:dyDescent="0.25">
      <c r="A31" s="83" t="s">
        <v>83</v>
      </c>
      <c r="B31" t="s">
        <v>48</v>
      </c>
      <c r="E31" s="57"/>
      <c r="H31" t="str">
        <f t="shared" ref="H31:H38" si="1">A31</f>
        <v>Control X</v>
      </c>
      <c r="I31" t="s">
        <v>49</v>
      </c>
    </row>
    <row r="32" spans="1:10" x14ac:dyDescent="0.25">
      <c r="A32" s="83" t="s">
        <v>83</v>
      </c>
      <c r="B32" t="s">
        <v>48</v>
      </c>
      <c r="E32" s="57"/>
      <c r="H32" t="str">
        <f t="shared" si="1"/>
        <v>Control X</v>
      </c>
      <c r="I32" t="s">
        <v>49</v>
      </c>
    </row>
    <row r="33" spans="1:9" x14ac:dyDescent="0.25">
      <c r="A33" s="83" t="s">
        <v>83</v>
      </c>
      <c r="B33" t="s">
        <v>48</v>
      </c>
      <c r="E33" s="57"/>
      <c r="H33" t="str">
        <f t="shared" si="1"/>
        <v>Control X</v>
      </c>
      <c r="I33" t="s">
        <v>49</v>
      </c>
    </row>
    <row r="34" spans="1:9" x14ac:dyDescent="0.25">
      <c r="A34" s="83" t="s">
        <v>83</v>
      </c>
      <c r="B34" t="s">
        <v>48</v>
      </c>
      <c r="E34" s="57"/>
      <c r="H34" t="str">
        <f t="shared" si="1"/>
        <v>Control X</v>
      </c>
      <c r="I34" t="s">
        <v>49</v>
      </c>
    </row>
    <row r="35" spans="1:9" x14ac:dyDescent="0.25">
      <c r="A35" s="83" t="s">
        <v>83</v>
      </c>
      <c r="B35" t="s">
        <v>48</v>
      </c>
      <c r="E35" s="57"/>
      <c r="H35" t="str">
        <f t="shared" si="1"/>
        <v>Control X</v>
      </c>
      <c r="I35" t="s">
        <v>49</v>
      </c>
    </row>
    <row r="36" spans="1:9" x14ac:dyDescent="0.25">
      <c r="A36" s="83" t="s">
        <v>83</v>
      </c>
      <c r="B36" t="s">
        <v>48</v>
      </c>
      <c r="E36" s="57"/>
      <c r="H36" t="str">
        <f t="shared" si="1"/>
        <v>Control X</v>
      </c>
      <c r="I36" t="s">
        <v>49</v>
      </c>
    </row>
    <row r="37" spans="1:9" x14ac:dyDescent="0.25">
      <c r="A37" s="83" t="s">
        <v>83</v>
      </c>
      <c r="B37" t="s">
        <v>48</v>
      </c>
      <c r="E37" s="57"/>
      <c r="H37" t="str">
        <f t="shared" si="1"/>
        <v>Control X</v>
      </c>
      <c r="I37" t="s">
        <v>49</v>
      </c>
    </row>
    <row r="38" spans="1:9" x14ac:dyDescent="0.25">
      <c r="A38" s="83" t="s">
        <v>83</v>
      </c>
      <c r="B38" t="s">
        <v>48</v>
      </c>
      <c r="E38" s="57"/>
      <c r="H38" t="str">
        <f t="shared" si="1"/>
        <v>Control X</v>
      </c>
      <c r="I38" t="s">
        <v>49</v>
      </c>
    </row>
    <row r="39" spans="1:9" x14ac:dyDescent="0.25">
      <c r="A39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U40"/>
  <sheetViews>
    <sheetView zoomScale="90" zoomScaleNormal="90" workbookViewId="0">
      <selection activeCell="F40" sqref="F40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9" width="9.28515625" bestFit="1" customWidth="1"/>
    <col min="10" max="13" width="9" bestFit="1" customWidth="1"/>
    <col min="14" max="14" width="9.28515625" bestFit="1" customWidth="1"/>
    <col min="15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33</v>
      </c>
      <c r="B1" s="13"/>
      <c r="E1" s="16" t="s">
        <v>34</v>
      </c>
      <c r="F1" s="16"/>
      <c r="G1" s="16"/>
    </row>
    <row r="2" spans="1:19" ht="15.75" x14ac:dyDescent="0.25">
      <c r="B2" s="35" t="s">
        <v>52</v>
      </c>
      <c r="C2" s="9"/>
      <c r="D2" s="9"/>
      <c r="E2" s="9"/>
      <c r="F2" s="9"/>
      <c r="G2" s="9"/>
      <c r="H2" s="9"/>
      <c r="I2" s="9"/>
      <c r="J2" s="9"/>
      <c r="K2" s="9" t="s">
        <v>19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27</v>
      </c>
      <c r="D3" s="9" t="s">
        <v>28</v>
      </c>
      <c r="E3" s="9"/>
      <c r="F3" s="9"/>
      <c r="G3" s="9"/>
      <c r="H3" s="9"/>
      <c r="I3" s="9"/>
      <c r="J3" s="9"/>
      <c r="K3" s="9">
        <f>AVERAGE(K5,K8,K11)</f>
        <v>0</v>
      </c>
      <c r="L3" s="90" t="s">
        <v>29</v>
      </c>
      <c r="M3" s="91"/>
      <c r="N3" s="91"/>
      <c r="O3" s="91"/>
      <c r="P3" s="91"/>
      <c r="Q3" s="92"/>
    </row>
    <row r="4" spans="1:19" ht="15.75" x14ac:dyDescent="0.25">
      <c r="B4" s="9" t="s">
        <v>0</v>
      </c>
      <c r="C4" s="9" t="s">
        <v>49</v>
      </c>
      <c r="D4" s="9" t="s">
        <v>48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L4" s="9" t="s">
        <v>20</v>
      </c>
      <c r="M4" s="9" t="s">
        <v>21</v>
      </c>
      <c r="N4" s="9" t="s">
        <v>22</v>
      </c>
      <c r="O4" s="9" t="s">
        <v>1</v>
      </c>
      <c r="P4" s="9" t="s">
        <v>2</v>
      </c>
      <c r="Q4" s="9" t="s">
        <v>3</v>
      </c>
    </row>
    <row r="5" spans="1:19" ht="15.75" x14ac:dyDescent="0.25">
      <c r="A5" t="s">
        <v>23</v>
      </c>
      <c r="B5" t="s">
        <v>30</v>
      </c>
      <c r="C5" s="61"/>
      <c r="D5" s="20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30</v>
      </c>
    </row>
    <row r="6" spans="1:19" ht="15.75" x14ac:dyDescent="0.25">
      <c r="B6" t="s">
        <v>30</v>
      </c>
      <c r="C6" s="61"/>
      <c r="D6" s="20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30</v>
      </c>
      <c r="C7" s="61"/>
      <c r="D7" s="20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7</v>
      </c>
      <c r="B8" t="s">
        <v>31</v>
      </c>
      <c r="C8" s="61"/>
      <c r="D8" s="20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31</v>
      </c>
    </row>
    <row r="9" spans="1:19" ht="15.75" x14ac:dyDescent="0.25">
      <c r="B9" t="s">
        <v>31</v>
      </c>
      <c r="C9" s="61"/>
      <c r="D9" s="20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31</v>
      </c>
      <c r="C10" s="61"/>
      <c r="D10" s="20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8</v>
      </c>
      <c r="B11" t="s">
        <v>32</v>
      </c>
      <c r="C11" s="61"/>
      <c r="D11" s="20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32</v>
      </c>
      <c r="S11" s="17">
        <f>STDEV(N5:N13)</f>
        <v>0</v>
      </c>
    </row>
    <row r="12" spans="1:19" ht="15.75" x14ac:dyDescent="0.25">
      <c r="B12" t="s">
        <v>32</v>
      </c>
      <c r="C12" s="61"/>
      <c r="D12" s="20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32</v>
      </c>
      <c r="C13" s="61"/>
      <c r="D13" s="20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82</v>
      </c>
      <c r="C14" s="61"/>
      <c r="D14" s="20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82</v>
      </c>
      <c r="C15" s="61"/>
      <c r="D15" s="20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82</v>
      </c>
      <c r="C16" s="61"/>
      <c r="D16" s="20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12</v>
      </c>
      <c r="C17" s="61"/>
      <c r="D17" s="20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12</v>
      </c>
    </row>
    <row r="18" spans="1:21" ht="15.75" x14ac:dyDescent="0.25">
      <c r="B18" t="s">
        <v>12</v>
      </c>
      <c r="C18" s="61"/>
      <c r="D18" s="20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12</v>
      </c>
      <c r="C19" s="61"/>
      <c r="D19" s="20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35</v>
      </c>
      <c r="U20" s="17">
        <f>AVERAGE(N5:N13,N26:N34)</f>
        <v>0.5</v>
      </c>
    </row>
    <row r="21" spans="1:21" x14ac:dyDescent="0.25">
      <c r="T21" t="s">
        <v>36</v>
      </c>
      <c r="U21">
        <f>STDEV(N5:N13,N26:N34)</f>
        <v>0</v>
      </c>
    </row>
    <row r="22" spans="1:21" x14ac:dyDescent="0.25">
      <c r="T22" t="s">
        <v>37</v>
      </c>
      <c r="U22" s="18">
        <f>U20-(2*U21)</f>
        <v>0.5</v>
      </c>
    </row>
    <row r="23" spans="1:21" ht="15.75" x14ac:dyDescent="0.25">
      <c r="B23" s="36" t="s">
        <v>53</v>
      </c>
      <c r="C23" s="9"/>
      <c r="D23" s="9"/>
      <c r="E23" s="9"/>
      <c r="F23" s="9"/>
      <c r="G23" s="9"/>
      <c r="H23" s="9"/>
      <c r="I23" s="9"/>
      <c r="J23" s="9"/>
      <c r="K23" s="9" t="s">
        <v>19</v>
      </c>
      <c r="L23" s="9"/>
      <c r="M23" s="9"/>
      <c r="N23" s="9"/>
      <c r="O23" s="9"/>
      <c r="P23" s="9"/>
      <c r="Q23" s="9"/>
      <c r="T23" t="s">
        <v>38</v>
      </c>
      <c r="U23" s="18">
        <f>U20+(2*U21)</f>
        <v>0.5</v>
      </c>
    </row>
    <row r="24" spans="1:21" ht="15.75" x14ac:dyDescent="0.25">
      <c r="B24" s="9"/>
      <c r="C24" s="9" t="s">
        <v>27</v>
      </c>
      <c r="D24" s="9" t="s">
        <v>28</v>
      </c>
      <c r="E24" s="9"/>
      <c r="F24" s="9"/>
      <c r="G24" s="9"/>
      <c r="H24" s="9"/>
      <c r="I24" s="9"/>
      <c r="J24" s="9"/>
      <c r="K24" s="9">
        <f>AVERAGE(K26,K29,K32)</f>
        <v>0</v>
      </c>
      <c r="L24" s="90" t="s">
        <v>29</v>
      </c>
      <c r="M24" s="91"/>
      <c r="N24" s="91"/>
      <c r="O24" s="91"/>
      <c r="P24" s="91"/>
      <c r="Q24" s="92"/>
    </row>
    <row r="25" spans="1:21" ht="15.75" x14ac:dyDescent="0.25">
      <c r="B25" s="9" t="s">
        <v>0</v>
      </c>
      <c r="C25" s="9" t="s">
        <v>47</v>
      </c>
      <c r="D25" s="9" t="s">
        <v>46</v>
      </c>
      <c r="E25" s="9" t="s">
        <v>13</v>
      </c>
      <c r="F25" s="9" t="s">
        <v>14</v>
      </c>
      <c r="G25" s="9" t="s">
        <v>15</v>
      </c>
      <c r="H25" s="9" t="s">
        <v>16</v>
      </c>
      <c r="I25" s="9" t="s">
        <v>17</v>
      </c>
      <c r="J25" s="9" t="s">
        <v>18</v>
      </c>
      <c r="L25" s="9" t="s">
        <v>20</v>
      </c>
      <c r="M25" s="9" t="s">
        <v>21</v>
      </c>
      <c r="N25" s="9" t="s">
        <v>22</v>
      </c>
      <c r="O25" s="9" t="s">
        <v>1</v>
      </c>
      <c r="P25" s="9" t="s">
        <v>2</v>
      </c>
      <c r="Q25" s="9" t="s">
        <v>3</v>
      </c>
    </row>
    <row r="26" spans="1:21" ht="15.75" customHeight="1" x14ac:dyDescent="0.25">
      <c r="A26" t="s">
        <v>23</v>
      </c>
      <c r="B26" t="s">
        <v>30</v>
      </c>
      <c r="C26" s="62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10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30</v>
      </c>
    </row>
    <row r="27" spans="1:21" ht="15.75" x14ac:dyDescent="0.25">
      <c r="B27" t="s">
        <v>30</v>
      </c>
      <c r="C27" s="62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30</v>
      </c>
      <c r="C28" s="62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7</v>
      </c>
      <c r="B29" t="s">
        <v>31</v>
      </c>
      <c r="C29" s="62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31</v>
      </c>
    </row>
    <row r="30" spans="1:21" ht="15.75" x14ac:dyDescent="0.25">
      <c r="B30" t="s">
        <v>31</v>
      </c>
      <c r="C30" s="62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31</v>
      </c>
      <c r="C31" s="62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8</v>
      </c>
      <c r="B32" t="s">
        <v>32</v>
      </c>
      <c r="C32" s="62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32</v>
      </c>
      <c r="S32" s="17">
        <f>STDEV(N26:N34)</f>
        <v>0</v>
      </c>
    </row>
    <row r="33" spans="2:18" ht="15.75" x14ac:dyDescent="0.25">
      <c r="B33" t="s">
        <v>32</v>
      </c>
      <c r="C33" s="62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32</v>
      </c>
      <c r="C34" s="62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82</v>
      </c>
      <c r="C35" s="62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82</v>
      </c>
      <c r="C36" s="62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82</v>
      </c>
      <c r="C37" s="62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12</v>
      </c>
      <c r="C38" s="62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12</v>
      </c>
    </row>
    <row r="39" spans="2:18" ht="15.75" x14ac:dyDescent="0.25">
      <c r="B39" t="s">
        <v>12</v>
      </c>
      <c r="C39" s="62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12</v>
      </c>
      <c r="C40" s="62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scale="58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H42"/>
  <sheetViews>
    <sheetView tabSelected="1" topLeftCell="A4" workbookViewId="0">
      <selection activeCell="C7" sqref="C7"/>
    </sheetView>
  </sheetViews>
  <sheetFormatPr defaultColWidth="8.85546875" defaultRowHeight="15" x14ac:dyDescent="0.25"/>
  <cols>
    <col min="7" max="7" width="12.7109375" customWidth="1"/>
    <col min="8" max="8" width="16.42578125" bestFit="1" customWidth="1"/>
    <col min="9" max="9" width="13.42578125" customWidth="1"/>
  </cols>
  <sheetData>
    <row r="3" spans="2:7" x14ac:dyDescent="0.25">
      <c r="B3" t="str">
        <f>'StepOne Data'!A1</f>
        <v>RSS_QS6_METHYL_XXX_MMDDYY_XX</v>
      </c>
    </row>
    <row r="5" spans="2:7" x14ac:dyDescent="0.25">
      <c r="C5" s="32" t="s">
        <v>50</v>
      </c>
      <c r="E5" s="32" t="s">
        <v>51</v>
      </c>
    </row>
    <row r="6" spans="2:7" x14ac:dyDescent="0.25">
      <c r="B6" t="s">
        <v>41</v>
      </c>
      <c r="C6" s="66" t="s">
        <v>82</v>
      </c>
      <c r="E6" s="32"/>
    </row>
    <row r="7" spans="2:7" x14ac:dyDescent="0.25">
      <c r="B7" s="93" t="s">
        <v>76</v>
      </c>
      <c r="C7" s="32"/>
      <c r="E7" s="32"/>
    </row>
    <row r="8" spans="2:7" x14ac:dyDescent="0.25">
      <c r="B8" s="93"/>
      <c r="C8" s="32"/>
      <c r="E8" s="32"/>
      <c r="G8" t="s">
        <v>85</v>
      </c>
    </row>
    <row r="9" spans="2:7" x14ac:dyDescent="0.25">
      <c r="B9" s="93"/>
      <c r="C9" s="32"/>
      <c r="E9" s="32"/>
    </row>
    <row r="10" spans="2:7" x14ac:dyDescent="0.25">
      <c r="B10" s="93" t="s">
        <v>77</v>
      </c>
      <c r="C10" s="32"/>
      <c r="E10" s="32"/>
    </row>
    <row r="11" spans="2:7" x14ac:dyDescent="0.25">
      <c r="B11" s="93"/>
      <c r="C11" s="32"/>
      <c r="E11" s="32"/>
      <c r="G11" t="s">
        <v>85</v>
      </c>
    </row>
    <row r="12" spans="2:7" x14ac:dyDescent="0.25">
      <c r="B12" s="93"/>
      <c r="C12" s="32"/>
      <c r="E12" s="32"/>
    </row>
    <row r="13" spans="2:7" x14ac:dyDescent="0.25">
      <c r="B13" s="14" t="s">
        <v>42</v>
      </c>
      <c r="C13" s="66" t="e">
        <f>AVERAGE(C7:C12)</f>
        <v>#DIV/0!</v>
      </c>
      <c r="D13" s="14"/>
      <c r="E13" s="66" t="e">
        <f>AVERAGE(E7:E12)</f>
        <v>#DIV/0!</v>
      </c>
    </row>
    <row r="14" spans="2:7" x14ac:dyDescent="0.25">
      <c r="B14" s="14" t="s">
        <v>43</v>
      </c>
      <c r="C14" s="66" t="e">
        <f>STDEV(C7:C12)</f>
        <v>#DIV/0!</v>
      </c>
      <c r="D14" s="14"/>
      <c r="E14" s="66" t="e">
        <f>STDEV(E7:E12)</f>
        <v>#DIV/0!</v>
      </c>
    </row>
    <row r="15" spans="2:7" x14ac:dyDescent="0.25">
      <c r="B15" t="s">
        <v>57</v>
      </c>
      <c r="C15" s="32" t="e">
        <f>C13-(2*C14)</f>
        <v>#DIV/0!</v>
      </c>
      <c r="E15" s="32" t="e">
        <f>E13-(2*E14)</f>
        <v>#DIV/0!</v>
      </c>
    </row>
    <row r="16" spans="2:7" x14ac:dyDescent="0.25">
      <c r="B16" t="s">
        <v>58</v>
      </c>
      <c r="C16" s="32" t="e">
        <f>C13+(2*C14)</f>
        <v>#DIV/0!</v>
      </c>
      <c r="E16" s="32" t="e">
        <f>E13+(2*E14)</f>
        <v>#DIV/0!</v>
      </c>
    </row>
    <row r="17" spans="2:8" ht="15.75" thickBot="1" x14ac:dyDescent="0.3">
      <c r="C17" s="32"/>
      <c r="E17" s="32"/>
    </row>
    <row r="18" spans="2:8" ht="15.75" thickBot="1" x14ac:dyDescent="0.3">
      <c r="B18" t="s">
        <v>44</v>
      </c>
      <c r="C18" s="32"/>
      <c r="E18" s="32"/>
      <c r="G18" s="96" t="s">
        <v>50</v>
      </c>
      <c r="H18" s="97"/>
    </row>
    <row r="19" spans="2:8" ht="15.75" thickBot="1" x14ac:dyDescent="0.3">
      <c r="B19" s="93" t="s">
        <v>76</v>
      </c>
      <c r="C19" s="32"/>
      <c r="E19" s="32"/>
      <c r="G19" s="98" t="s">
        <v>59</v>
      </c>
      <c r="H19" s="99"/>
    </row>
    <row r="20" spans="2:8" x14ac:dyDescent="0.25">
      <c r="B20" s="93"/>
      <c r="C20" s="32"/>
      <c r="E20" s="32"/>
      <c r="G20" s="94" t="s">
        <v>60</v>
      </c>
      <c r="H20" s="68" t="s">
        <v>62</v>
      </c>
    </row>
    <row r="21" spans="2:8" ht="15.75" thickBot="1" x14ac:dyDescent="0.3">
      <c r="B21" s="93"/>
      <c r="C21" s="32"/>
      <c r="E21" s="32"/>
      <c r="G21" s="95"/>
      <c r="H21" s="69" t="s">
        <v>63</v>
      </c>
    </row>
    <row r="22" spans="2:8" x14ac:dyDescent="0.25">
      <c r="B22" s="93"/>
      <c r="C22" s="32"/>
      <c r="E22" s="32"/>
      <c r="G22" s="94" t="s">
        <v>61</v>
      </c>
      <c r="H22" s="68" t="s">
        <v>62</v>
      </c>
    </row>
    <row r="23" spans="2:8" ht="15.75" thickBot="1" x14ac:dyDescent="0.3">
      <c r="B23" s="93"/>
      <c r="C23" s="32"/>
      <c r="E23" s="32"/>
      <c r="G23" s="95"/>
      <c r="H23" s="69" t="s">
        <v>63</v>
      </c>
    </row>
    <row r="24" spans="2:8" ht="15.75" thickBot="1" x14ac:dyDescent="0.3">
      <c r="B24" s="93"/>
      <c r="C24" s="32"/>
      <c r="E24" s="32"/>
      <c r="H24" s="67"/>
    </row>
    <row r="25" spans="2:8" ht="15.75" thickBot="1" x14ac:dyDescent="0.3">
      <c r="B25" s="93"/>
      <c r="C25" s="32"/>
      <c r="E25" s="32"/>
      <c r="G25" s="96" t="s">
        <v>51</v>
      </c>
      <c r="H25" s="97"/>
    </row>
    <row r="26" spans="2:8" ht="15.75" thickBot="1" x14ac:dyDescent="0.3">
      <c r="B26" s="93"/>
      <c r="C26" s="32"/>
      <c r="E26" s="32"/>
      <c r="G26" s="98" t="s">
        <v>59</v>
      </c>
      <c r="H26" s="99"/>
    </row>
    <row r="27" spans="2:8" x14ac:dyDescent="0.25">
      <c r="B27" s="93"/>
      <c r="C27" s="32"/>
      <c r="E27" s="32"/>
      <c r="G27" s="94" t="s">
        <v>60</v>
      </c>
      <c r="H27" s="68" t="s">
        <v>62</v>
      </c>
    </row>
    <row r="28" spans="2:8" ht="15.75" thickBot="1" x14ac:dyDescent="0.3">
      <c r="B28" s="93" t="s">
        <v>77</v>
      </c>
      <c r="C28" s="32"/>
      <c r="E28" s="32"/>
      <c r="G28" s="95"/>
      <c r="H28" s="69" t="s">
        <v>63</v>
      </c>
    </row>
    <row r="29" spans="2:8" x14ac:dyDescent="0.25">
      <c r="B29" s="93"/>
      <c r="C29" s="32"/>
      <c r="E29" s="32"/>
      <c r="G29" s="94" t="s">
        <v>61</v>
      </c>
      <c r="H29" s="68" t="s">
        <v>62</v>
      </c>
    </row>
    <row r="30" spans="2:8" ht="15.75" thickBot="1" x14ac:dyDescent="0.3">
      <c r="B30" s="93"/>
      <c r="C30" s="32"/>
      <c r="E30" s="32"/>
      <c r="G30" s="95"/>
      <c r="H30" s="69" t="s">
        <v>63</v>
      </c>
    </row>
    <row r="31" spans="2:8" x14ac:dyDescent="0.25">
      <c r="B31" s="93"/>
      <c r="C31" s="32"/>
      <c r="E31" s="32"/>
    </row>
    <row r="32" spans="2:8" x14ac:dyDescent="0.25">
      <c r="B32" s="93"/>
      <c r="C32" s="32"/>
      <c r="E32" s="32"/>
    </row>
    <row r="33" spans="2:5" x14ac:dyDescent="0.25">
      <c r="B33" s="93"/>
      <c r="C33" s="32"/>
      <c r="E33" s="32"/>
    </row>
    <row r="34" spans="2:5" x14ac:dyDescent="0.25">
      <c r="B34" s="93"/>
      <c r="C34" s="32"/>
      <c r="E34" s="32"/>
    </row>
    <row r="35" spans="2:5" x14ac:dyDescent="0.25">
      <c r="B35" s="93"/>
      <c r="C35" s="32"/>
      <c r="E35" s="32"/>
    </row>
    <row r="36" spans="2:5" x14ac:dyDescent="0.25">
      <c r="B36" s="93"/>
      <c r="C36" s="32"/>
      <c r="E36" s="32"/>
    </row>
    <row r="37" spans="2:5" x14ac:dyDescent="0.25">
      <c r="B37" s="14" t="s">
        <v>42</v>
      </c>
      <c r="C37" s="66" t="e">
        <f>AVERAGE(C19:C36)</f>
        <v>#DIV/0!</v>
      </c>
      <c r="D37" s="14"/>
      <c r="E37" s="66" t="e">
        <f>AVERAGE(E19:E36)</f>
        <v>#DIV/0!</v>
      </c>
    </row>
    <row r="38" spans="2:5" x14ac:dyDescent="0.25">
      <c r="B38" s="14" t="s">
        <v>43</v>
      </c>
      <c r="C38" s="66" t="e">
        <f>STDEV(C19:C36)</f>
        <v>#DIV/0!</v>
      </c>
      <c r="D38" s="14"/>
      <c r="E38" s="66" t="e">
        <f>STDEV(E19:E36)</f>
        <v>#DIV/0!</v>
      </c>
    </row>
    <row r="39" spans="2:5" x14ac:dyDescent="0.25">
      <c r="B39" t="s">
        <v>57</v>
      </c>
      <c r="C39" s="32" t="e">
        <f>C37-(2*C38)</f>
        <v>#DIV/0!</v>
      </c>
      <c r="E39" s="32" t="e">
        <f>E37-(2*E38)</f>
        <v>#DIV/0!</v>
      </c>
    </row>
    <row r="40" spans="2:5" x14ac:dyDescent="0.25">
      <c r="B40" t="s">
        <v>58</v>
      </c>
      <c r="C40" s="32" t="e">
        <f>C37+(2*C38)</f>
        <v>#DIV/0!</v>
      </c>
      <c r="E40" s="32" t="e">
        <f>E37+(2*E38)</f>
        <v>#DIV/0!</v>
      </c>
    </row>
    <row r="42" spans="2:5" x14ac:dyDescent="0.25">
      <c r="C42" s="17"/>
    </row>
  </sheetData>
  <mergeCells count="12">
    <mergeCell ref="B7:B9"/>
    <mergeCell ref="B10:B12"/>
    <mergeCell ref="B19:B27"/>
    <mergeCell ref="B28:B36"/>
    <mergeCell ref="G27:G28"/>
    <mergeCell ref="G29:G30"/>
    <mergeCell ref="G25:H25"/>
    <mergeCell ref="G18:H18"/>
    <mergeCell ref="G19:H19"/>
    <mergeCell ref="G26:H26"/>
    <mergeCell ref="G20:G21"/>
    <mergeCell ref="G22:G23"/>
  </mergeCells>
  <conditionalFormatting sqref="G26">
    <cfRule type="expression" dxfId="17" priority="13">
      <formula>AND($E$15&gt;=$E$39,$E$15&lt;=$E$40)</formula>
    </cfRule>
    <cfRule type="expression" dxfId="16" priority="17">
      <formula>AND($E$16&gt;=$E$39,$E$16&lt;=$E$40)</formula>
    </cfRule>
    <cfRule type="expression" dxfId="15" priority="18">
      <formula>AND($E$39&lt;=$E$13, $E$13&lt;=$E$40)</formula>
    </cfRule>
  </conditionalFormatting>
  <conditionalFormatting sqref="G29">
    <cfRule type="expression" dxfId="14" priority="16">
      <formula>$E$15&gt;$E$40</formula>
    </cfRule>
  </conditionalFormatting>
  <conditionalFormatting sqref="G27">
    <cfRule type="expression" dxfId="13" priority="15">
      <formula>$E$16&lt;$E$39</formula>
    </cfRule>
  </conditionalFormatting>
  <conditionalFormatting sqref="H27">
    <cfRule type="expression" dxfId="12" priority="14">
      <formula>AND(($E$37-0.05)&lt;=$E$13,$E$13&lt;=$E$39)</formula>
    </cfRule>
  </conditionalFormatting>
  <conditionalFormatting sqref="H28">
    <cfRule type="expression" dxfId="11" priority="12">
      <formula>AND(($E$37-0.1)&lt;=$E$13,$E$13&lt;=($E$37-0.05))</formula>
    </cfRule>
  </conditionalFormatting>
  <conditionalFormatting sqref="G19">
    <cfRule type="expression" dxfId="10" priority="6">
      <formula>AND($C$15&gt;=$C$39,$C$15&lt;=$C$40)</formula>
    </cfRule>
    <cfRule type="expression" dxfId="9" priority="10">
      <formula>AND($C$16&gt;=$C$39,$C$16&lt;=$C$40)</formula>
    </cfRule>
    <cfRule type="expression" dxfId="8" priority="11">
      <formula>AND($C$39&lt;=$C$13, $C$13&lt;=$C$40)</formula>
    </cfRule>
  </conditionalFormatting>
  <conditionalFormatting sqref="G22">
    <cfRule type="expression" dxfId="7" priority="9">
      <formula>$C$15&gt;$C$40</formula>
    </cfRule>
  </conditionalFormatting>
  <conditionalFormatting sqref="G20">
    <cfRule type="expression" dxfId="6" priority="8">
      <formula>$C$16&lt;$C$39</formula>
    </cfRule>
  </conditionalFormatting>
  <conditionalFormatting sqref="H20">
    <cfRule type="expression" dxfId="5" priority="7">
      <formula>AND(($C$37-0.05)&lt;=$C$13,$C$13&lt;=$C$39)</formula>
    </cfRule>
  </conditionalFormatting>
  <conditionalFormatting sqref="H21">
    <cfRule type="expression" dxfId="4" priority="5">
      <formula>AND(($C$37-0.1)&lt;=$C$13,$C$13&lt;=($C$37-0.05))</formula>
    </cfRule>
  </conditionalFormatting>
  <conditionalFormatting sqref="H22">
    <cfRule type="expression" dxfId="3" priority="4">
      <formula>AND(($C$37+0.05)&gt;=$C$13,$C$13&gt;=$C$40)</formula>
    </cfRule>
  </conditionalFormatting>
  <conditionalFormatting sqref="H23">
    <cfRule type="expression" dxfId="2" priority="3">
      <formula>AND(($C$37+0.1)&gt;=$C$13,$C$13&gt;=($C$37+0.05))</formula>
    </cfRule>
  </conditionalFormatting>
  <conditionalFormatting sqref="H29">
    <cfRule type="expression" dxfId="1" priority="2">
      <formula>AND(($E$37+0.05)&gt;=$E$13,$E$13&gt;=$E$40)</formula>
    </cfRule>
  </conditionalFormatting>
  <conditionalFormatting sqref="H30">
    <cfRule type="expression" dxfId="0" priority="1">
      <formula>AND(($E$37+0.1)&gt;=$E$13,$E$13&gt;=($E$37+0.05))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Print Me</vt:lpstr>
      <vt:lpstr>Final</vt:lpstr>
      <vt:lpstr>Summarized Data</vt:lpstr>
      <vt:lpstr>StepOne Data</vt:lpstr>
      <vt:lpstr>RAW DATA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2025-11-04T21:34:19Z</cp:lastPrinted>
  <dcterms:created xsi:type="dcterms:W3CDTF">2011-10-27T20:36:47Z</dcterms:created>
  <dcterms:modified xsi:type="dcterms:W3CDTF">2025-12-03T23:24:26Z</dcterms:modified>
</cp:coreProperties>
</file>